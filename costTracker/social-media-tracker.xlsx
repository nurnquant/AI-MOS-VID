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60" yWindow="2820" windowWidth="28640" windowHeight="15760" tabRatio="500" firstSheet="0" activeTab="3" autoFilterDateGrouping="1"/>
  </bookViews>
  <sheets>
    <sheet name="Dashboard" sheetId="1" state="visible" r:id="rId1"/>
    <sheet name="Weekly Tracker" sheetId="2" state="visible" r:id="rId2"/>
    <sheet name="Platform Summary" sheetId="3" state="visible" r:id="rId3"/>
    <sheet name="ProductionCost" sheetId="4" state="visible" r:id="rId4"/>
  </sheets>
  <definedNames>
    <definedName name="_xlnm._FilterDatabase" localSheetId="1" hidden="1">'Weekly Tracker'!$B$5:$N$200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0.0%"/>
    <numFmt numFmtId="166" formatCode="#,##0;[Red]\-#,##0"/>
    <numFmt numFmtId="167" formatCode="yyyy\-mm\-dd"/>
    <numFmt numFmtId="168" formatCode="yyyy-mm-dd h:mm:ss"/>
  </numFmts>
  <fonts count="10">
    <font>
      <name val="Calibri"/>
      <charset val="1"/>
      <family val="2"/>
      <color theme="1"/>
      <sz val="11"/>
    </font>
    <font>
      <name val="Calibri"/>
      <family val="2"/>
      <b val="1"/>
      <color rgb="FF28251D"/>
      <sz val="18"/>
    </font>
    <font>
      <name val="Calibri"/>
      <family val="2"/>
      <color rgb="FF7A7974"/>
      <sz val="10"/>
    </font>
    <font>
      <name val="Calibri"/>
      <family val="2"/>
      <b val="1"/>
      <color rgb="FF01696F"/>
      <sz val="22"/>
    </font>
    <font>
      <name val="Calibri"/>
      <family val="2"/>
      <b val="1"/>
      <color rgb="FF28251D"/>
      <sz val="13"/>
    </font>
    <font>
      <name val="Calibri"/>
      <family val="2"/>
      <b val="1"/>
      <color rgb="FFFFFFFF"/>
      <sz val="11"/>
    </font>
    <font>
      <name val="Calibri"/>
      <family val="2"/>
      <color rgb="FF28251D"/>
      <sz val="11"/>
    </font>
    <font>
      <name val="Calibri"/>
      <family val="2"/>
      <i val="1"/>
      <color rgb="FF7A7974"/>
      <sz val="10"/>
    </font>
    <font>
      <name val="Calibri"/>
      <family val="2"/>
      <b val="1"/>
      <color rgb="FF28251D"/>
      <sz val="11"/>
    </font>
    <font>
      <name val="Calibri"/>
      <family val="2"/>
      <b val="1"/>
      <color theme="1"/>
      <sz val="18"/>
    </font>
  </fonts>
  <fills count="5">
    <fill>
      <patternFill/>
    </fill>
    <fill>
      <patternFill patternType="gray125"/>
    </fill>
    <fill>
      <patternFill patternType="solid">
        <fgColor rgb="FFF7F6F2"/>
        <bgColor rgb="FFF9F8F5"/>
      </patternFill>
    </fill>
    <fill>
      <patternFill patternType="solid">
        <fgColor rgb="FFF9F8F5"/>
        <bgColor rgb="FFF7F6F2"/>
      </patternFill>
    </fill>
    <fill>
      <patternFill patternType="solid">
        <fgColor rgb="FF01696F"/>
        <bgColor rgb="FF008080"/>
      </patternFill>
    </fill>
  </fills>
  <borders count="9">
    <border>
      <left/>
      <right/>
      <top/>
      <bottom/>
      <diagonal/>
    </border>
    <border>
      <left style="thin">
        <color rgb="FFD4D1CA"/>
      </left>
      <right/>
      <top style="thin">
        <color rgb="FFD4D1CA"/>
      </top>
      <bottom/>
      <diagonal/>
    </border>
    <border>
      <left style="thin">
        <color rgb="FFD4D1CA"/>
      </left>
      <right/>
      <top style="thin">
        <color rgb="FFD4D1CA"/>
      </top>
      <bottom style="thin">
        <color rgb="FFD4D1CA"/>
      </bottom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/>
      <bottom style="thin">
        <color rgb="FFD4D1CA"/>
      </bottom>
      <diagonal/>
    </border>
    <border>
      <left/>
      <right/>
      <top style="medium">
        <color rgb="FF01696F"/>
      </top>
      <bottom style="thin">
        <color rgb="FFD4D1CA"/>
      </bottom>
      <diagonal/>
    </border>
    <border>
      <left/>
      <right/>
      <top style="thin">
        <color rgb="FFD4D1CA"/>
      </top>
      <bottom/>
      <diagonal/>
    </border>
    <border>
      <left style="thin">
        <color rgb="FFD4D1CA"/>
      </left>
      <right/>
      <top/>
      <bottom/>
      <diagonal/>
    </border>
    <border>
      <left/>
      <right/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5" fillId="4" borderId="3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3" fontId="6" fillId="2" borderId="4" applyAlignment="1" pivotButton="0" quotePrefix="0" xfId="0">
      <alignment horizontal="right" vertical="center"/>
    </xf>
    <xf numFmtId="165" fontId="6" fillId="2" borderId="4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left" vertical="center"/>
    </xf>
    <xf numFmtId="166" fontId="6" fillId="2" borderId="4" applyAlignment="1" pivotButton="0" quotePrefix="0" xfId="0">
      <alignment horizontal="right" vertical="center"/>
    </xf>
    <xf numFmtId="0" fontId="6" fillId="2" borderId="4" applyAlignment="1" pivotButton="0" quotePrefix="0" xfId="0">
      <alignment horizontal="center" vertical="center"/>
    </xf>
    <xf numFmtId="0" fontId="8" fillId="2" borderId="5" applyAlignment="1" pivotButton="0" quotePrefix="0" xfId="0">
      <alignment horizontal="left" vertical="center"/>
    </xf>
    <xf numFmtId="3" fontId="8" fillId="2" borderId="5" applyAlignment="1" pivotButton="0" quotePrefix="0" xfId="0">
      <alignment horizontal="right" vertical="center"/>
    </xf>
    <xf numFmtId="166" fontId="8" fillId="2" borderId="5" applyAlignment="1" pivotButton="0" quotePrefix="0" xfId="0">
      <alignment horizontal="right" vertical="center"/>
    </xf>
    <xf numFmtId="165" fontId="8" fillId="2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167" fontId="0" fillId="0" borderId="0" pivotButton="0" quotePrefix="0" xfId="0"/>
    <xf numFmtId="165" fontId="3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3" fontId="3" fillId="3" borderId="1" applyAlignment="1" pivotButton="0" quotePrefix="0" xfId="0">
      <alignment horizontal="center" vertical="center"/>
    </xf>
    <xf numFmtId="0" fontId="7" fillId="2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9F8F5"/>
      <rgbColor rgb="FFF7F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topLeftCell="B1" zoomScaleNormal="100" workbookViewId="0">
      <selection activeCell="J28" sqref="J28"/>
    </sheetView>
  </sheetViews>
  <sheetFormatPr baseColWidth="10" defaultColWidth="8.6640625" defaultRowHeight="15"/>
  <cols>
    <col width="3" customWidth="1" style="22" min="1" max="1"/>
    <col width="14" customWidth="1" style="22" min="2" max="11"/>
  </cols>
  <sheetData>
    <row r="1" ht="15" customHeight="1" s="2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1.75" customHeight="1" s="22">
      <c r="A2" s="1" t="n"/>
      <c r="B2" s="2" t="inlineStr">
        <is>
          <t>Social Media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5" customHeight="1" s="22">
      <c r="A3" s="1" t="n"/>
      <c r="B3" s="3" t="inlineStr">
        <is>
          <t>Followers, Engagement &amp; Shares — Weekly Dashboard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5" customHeight="1" s="2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5" customHeight="1" s="2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7.75" customHeight="1" s="22">
      <c r="A6" s="1" t="n"/>
      <c r="B6" s="1" t="n"/>
      <c r="C6" s="23">
        <f>SUM('Platform Summary'!C5:C12)</f>
        <v/>
      </c>
      <c r="D6" s="20" t="n"/>
      <c r="E6" s="19">
        <f>IFERROR(AVERAGE('Platform Summary'!F5:F12),0)</f>
        <v/>
      </c>
      <c r="F6" s="20" t="n"/>
      <c r="G6" s="23">
        <f>SUM('Platform Summary'!G5:G12)</f>
        <v/>
      </c>
      <c r="H6" s="20" t="n"/>
      <c r="I6" s="23">
        <f>SUM('Platform Summary'!H5:H12)</f>
        <v/>
      </c>
      <c r="J6" s="20" t="n"/>
      <c r="K6" s="1" t="n"/>
      <c r="L6" s="1" t="n"/>
    </row>
    <row r="7" ht="27.75" customHeight="1" s="22">
      <c r="A7" s="1" t="n"/>
      <c r="B7" s="1" t="n"/>
      <c r="C7" s="21" t="n"/>
      <c r="E7" s="21" t="n"/>
      <c r="G7" s="21" t="n"/>
      <c r="I7" s="21" t="n"/>
      <c r="K7" s="1" t="n"/>
      <c r="L7" s="1" t="n"/>
    </row>
    <row r="8" ht="21.75" customHeight="1" s="22">
      <c r="A8" s="1" t="n"/>
      <c r="B8" s="1" t="n"/>
      <c r="C8" s="25" t="inlineStr">
        <is>
          <t>Total Followers</t>
        </is>
      </c>
      <c r="D8" s="26" t="n"/>
      <c r="E8" s="25" t="inlineStr">
        <is>
          <t>Avg Engagement Rate</t>
        </is>
      </c>
      <c r="F8" s="26" t="n"/>
      <c r="G8" s="25" t="inlineStr">
        <is>
          <t>Total Shares</t>
        </is>
      </c>
      <c r="H8" s="26" t="n"/>
      <c r="I8" s="25" t="inlineStr">
        <is>
          <t>Total Engagements</t>
        </is>
      </c>
      <c r="J8" s="26" t="n"/>
      <c r="K8" s="1" t="n"/>
      <c r="L8" s="1" t="n"/>
    </row>
    <row r="9" ht="15" customHeight="1" s="2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15" customHeight="1" s="2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5.75" customHeight="1" s="22">
      <c r="A11" s="1" t="n"/>
      <c r="B11" s="4" t="inlineStr">
        <is>
          <t>Weekly Growth Summary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30" customHeight="1" s="22">
      <c r="A12" s="1" t="n"/>
      <c r="B12" s="5" t="inlineStr">
        <is>
          <t>Week Ending</t>
        </is>
      </c>
      <c r="C12" s="5" t="inlineStr">
        <is>
          <t>Total Followers</t>
        </is>
      </c>
      <c r="D12" s="5" t="inlineStr">
        <is>
          <t>New Followers</t>
        </is>
      </c>
      <c r="E12" s="5" t="inlineStr">
        <is>
          <t>Engagement Rate</t>
        </is>
      </c>
      <c r="F12" s="5" t="inlineStr">
        <is>
          <t>Total Shares</t>
        </is>
      </c>
      <c r="G12" s="5" t="inlineStr">
        <is>
          <t>Total Engagements</t>
        </is>
      </c>
      <c r="H12" s="1" t="n"/>
      <c r="I12" s="1" t="n"/>
      <c r="J12" s="1" t="n"/>
      <c r="K12" s="1" t="n"/>
      <c r="L12" s="1" t="n"/>
    </row>
    <row r="13" ht="15" customHeight="1" s="22">
      <c r="A13" s="1" t="n"/>
      <c r="B13" s="6" t="n"/>
      <c r="C13" s="7" t="n"/>
      <c r="D13" s="7" t="n"/>
      <c r="E13" s="8" t="n"/>
      <c r="F13" s="7" t="n"/>
      <c r="G13" s="7" t="n"/>
      <c r="H13" s="1" t="n"/>
      <c r="I13" s="1" t="n"/>
      <c r="J13" s="1" t="n"/>
      <c r="K13" s="1" t="n"/>
      <c r="L13" s="1" t="n"/>
    </row>
    <row r="14" ht="15" customHeight="1" s="22">
      <c r="A14" s="1" t="n"/>
      <c r="B14" s="6" t="n"/>
      <c r="C14" s="7" t="n"/>
      <c r="D14" s="7" t="n"/>
      <c r="E14" s="8" t="n"/>
      <c r="F14" s="7" t="n"/>
      <c r="G14" s="7" t="n"/>
      <c r="H14" s="1" t="n"/>
      <c r="I14" s="1" t="n"/>
      <c r="J14" s="1" t="n"/>
      <c r="K14" s="1" t="n"/>
      <c r="L14" s="1" t="n"/>
    </row>
    <row r="15" ht="15" customHeight="1" s="22">
      <c r="A15" s="1" t="n"/>
      <c r="B15" s="6" t="n"/>
      <c r="C15" s="7" t="n"/>
      <c r="D15" s="7" t="n"/>
      <c r="E15" s="8" t="n"/>
      <c r="F15" s="7" t="n"/>
      <c r="G15" s="7" t="n"/>
      <c r="H15" s="1" t="n"/>
      <c r="I15" s="1" t="n"/>
      <c r="J15" s="1" t="n"/>
      <c r="K15" s="1" t="n"/>
      <c r="L15" s="1" t="n"/>
    </row>
    <row r="16" ht="15" customHeight="1" s="22">
      <c r="A16" s="1" t="n"/>
      <c r="B16" s="6" t="n"/>
      <c r="C16" s="7" t="n"/>
      <c r="D16" s="7" t="n"/>
      <c r="E16" s="8" t="n"/>
      <c r="F16" s="7" t="n"/>
      <c r="G16" s="7" t="n"/>
      <c r="H16" s="1" t="n"/>
      <c r="I16" s="1" t="n"/>
      <c r="J16" s="1" t="n"/>
      <c r="K16" s="1" t="n"/>
      <c r="L16" s="1" t="n"/>
    </row>
    <row r="17" ht="15" customHeight="1" s="22">
      <c r="A17" s="1" t="n"/>
      <c r="B17" s="6" t="n"/>
      <c r="C17" s="7" t="n"/>
      <c r="D17" s="7" t="n"/>
      <c r="E17" s="8" t="n"/>
      <c r="F17" s="7" t="n"/>
      <c r="G17" s="7" t="n"/>
      <c r="H17" s="1" t="n"/>
      <c r="I17" s="1" t="n"/>
      <c r="J17" s="1" t="n"/>
      <c r="K17" s="1" t="n"/>
      <c r="L17" s="1" t="n"/>
    </row>
    <row r="18" ht="15" customHeight="1" s="22">
      <c r="A18" s="1" t="n"/>
      <c r="B18" s="6" t="n"/>
      <c r="C18" s="7" t="n"/>
      <c r="D18" s="7" t="n"/>
      <c r="E18" s="8" t="n"/>
      <c r="F18" s="7" t="n"/>
      <c r="G18" s="7" t="n"/>
      <c r="H18" s="1" t="n"/>
      <c r="I18" s="1" t="n"/>
      <c r="J18" s="1" t="n"/>
      <c r="K18" s="1" t="n"/>
      <c r="L18" s="1" t="n"/>
    </row>
    <row r="19" ht="15" customHeight="1" s="22">
      <c r="A19" s="1" t="n"/>
      <c r="B19" s="6" t="n"/>
      <c r="C19" s="7" t="n"/>
      <c r="D19" s="7" t="n"/>
      <c r="E19" s="8" t="n"/>
      <c r="F19" s="7" t="n"/>
      <c r="G19" s="7" t="n"/>
      <c r="H19" s="1" t="n"/>
      <c r="I19" s="1" t="n"/>
      <c r="J19" s="1" t="n"/>
      <c r="K19" s="1" t="n"/>
      <c r="L19" s="1" t="n"/>
    </row>
    <row r="20" ht="15" customHeight="1" s="22">
      <c r="A20" s="1" t="n"/>
      <c r="B20" s="6" t="n"/>
      <c r="C20" s="7" t="n"/>
      <c r="D20" s="7" t="n"/>
      <c r="E20" s="8" t="n"/>
      <c r="F20" s="7" t="n"/>
      <c r="G20" s="7" t="n"/>
      <c r="H20" s="1" t="n"/>
      <c r="I20" s="1" t="n"/>
      <c r="J20" s="1" t="n"/>
      <c r="K20" s="1" t="n"/>
      <c r="L20" s="1" t="n"/>
    </row>
    <row r="21" ht="15" customHeight="1" s="2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" customHeight="1" s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 ht="15.75" customHeight="1" s="22">
      <c r="A23" s="1" t="n"/>
      <c r="B23" s="4" t="inlineStr">
        <is>
          <t>How to Use This Spreadsheet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15" customHeight="1" s="22">
      <c r="A24" s="1" t="n"/>
      <c r="B24" s="24" t="inlineStr">
        <is>
          <t>1. Go to the 'Weekly Tracker' tab and log your metrics each week (one row per platform per week).</t>
        </is>
      </c>
      <c r="J24" s="1" t="n"/>
      <c r="K24" s="1" t="n"/>
      <c r="L24" s="1" t="n"/>
    </row>
    <row r="25" ht="15" customHeight="1" s="22">
      <c r="A25" s="1" t="n"/>
      <c r="B25" s="24" t="inlineStr">
        <is>
          <t>2. Enter the week-ending date, select a platform, and type in your follower count, likes, comments, and shares.</t>
        </is>
      </c>
      <c r="J25" s="1" t="n"/>
      <c r="K25" s="1" t="n"/>
      <c r="L25" s="1" t="n"/>
    </row>
    <row r="26" ht="15" customHeight="1" s="22">
      <c r="A26" s="1" t="n"/>
      <c r="B26" s="24" t="inlineStr">
        <is>
          <t>3. 'New Followers', 'Total Engagements', and 'Engagement Rate' are calculated automatically.</t>
        </is>
      </c>
      <c r="J26" s="1" t="n"/>
      <c r="K26" s="1" t="n"/>
      <c r="L26" s="1" t="n"/>
    </row>
    <row r="27" ht="15" customHeight="1" s="22">
      <c r="A27" s="1" t="n"/>
      <c r="B27" s="24" t="inlineStr">
        <is>
          <t>4. The 'Platform Summary' tab auto-aggregates your latest week's numbers per platform.</t>
        </is>
      </c>
      <c r="J27" s="1" t="n"/>
      <c r="K27" s="1" t="n"/>
      <c r="L27" s="1" t="n"/>
    </row>
    <row r="28" ht="15" customHeight="1" s="22">
      <c r="A28" s="1" t="n"/>
      <c r="B28" s="24" t="inlineStr">
        <is>
          <t>5. This 'Dashboard' tab shows your top-level KPIs and weekly growth trends.</t>
        </is>
      </c>
      <c r="J28" s="1" t="n"/>
      <c r="K28" s="1" t="n"/>
      <c r="L28" s="1" t="n"/>
    </row>
    <row r="29" ht="15" customHeight="1" s="22">
      <c r="A29" s="1" t="n"/>
      <c r="B29" s="24" t="inlineStr">
        <is>
          <t>6. Add more rows as needed — just copy a formula row down to extend the calculations.</t>
        </is>
      </c>
      <c r="J29" s="1" t="n"/>
      <c r="K29" s="1" t="n"/>
      <c r="L29" s="1" t="n"/>
    </row>
    <row r="30" ht="15" customHeight="1" s="2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 ht="15" customHeight="1" s="2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 ht="15" customHeight="1" s="2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 ht="15" customHeight="1" s="2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 ht="15" customHeight="1" s="2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 ht="15" customHeight="1" s="2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 ht="15" customHeight="1" s="2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 ht="15" customHeight="1" s="2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15" customHeight="1" s="2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15" customHeight="1" s="2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 ht="15" customHeight="1" s="2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</sheetData>
  <mergeCells count="14">
    <mergeCell ref="E6:F7"/>
    <mergeCell ref="C6:D7"/>
    <mergeCell ref="B25:I25"/>
    <mergeCell ref="B29:I29"/>
    <mergeCell ref="B24:I24"/>
    <mergeCell ref="G6:H7"/>
    <mergeCell ref="I6:J7"/>
    <mergeCell ref="B28:I28"/>
    <mergeCell ref="I8:J8"/>
    <mergeCell ref="G8:H8"/>
    <mergeCell ref="B27:I27"/>
    <mergeCell ref="E8:F8"/>
    <mergeCell ref="C8:D8"/>
    <mergeCell ref="B26:I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0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10" defaultColWidth="8.6640625" defaultRowHeight="15"/>
  <cols>
    <col width="3" customWidth="1" style="22" min="1" max="1"/>
    <col width="13" customWidth="1" style="22" min="2" max="2"/>
    <col width="15" customWidth="1" style="22" min="3" max="3"/>
    <col width="14" customWidth="1" style="22" min="4" max="6"/>
    <col width="13" customWidth="1" style="22" min="7" max="7"/>
    <col width="12" customWidth="1" style="22" min="8" max="9"/>
    <col width="13" customWidth="1" style="22" min="10" max="10"/>
    <col width="14" customWidth="1" style="22" min="11" max="13"/>
    <col width="30" customWidth="1" style="22" min="14" max="14"/>
  </cols>
  <sheetData>
    <row r="1" ht="15" customHeight="1" s="2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.75" customHeight="1" s="22">
      <c r="A2" s="1" t="n"/>
      <c r="B2" s="2" t="inlineStr">
        <is>
          <t>Weekly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5" customHeight="1" s="22">
      <c r="A3" s="1" t="n"/>
      <c r="B3" s="3" t="inlineStr">
        <is>
          <t>Log one row per platform per week. Formulas calculate automatically.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5" customHeight="1" s="2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4.5" customHeight="1" s="22">
      <c r="A5" s="1" t="n"/>
      <c r="B5" s="9" t="inlineStr">
        <is>
          <t>Week Ending</t>
        </is>
      </c>
      <c r="C5" s="9" t="inlineStr">
        <is>
          <t>Platform</t>
        </is>
      </c>
      <c r="D5" s="9" t="inlineStr">
        <is>
          <t>Followers (Start)</t>
        </is>
      </c>
      <c r="E5" s="9" t="inlineStr">
        <is>
          <t>Followers (End)</t>
        </is>
      </c>
      <c r="F5" s="9" t="inlineStr">
        <is>
          <t>New Followers</t>
        </is>
      </c>
      <c r="G5" s="9" t="inlineStr">
        <is>
          <t>Posts</t>
        </is>
      </c>
      <c r="H5" s="9" t="inlineStr">
        <is>
          <t>Likes</t>
        </is>
      </c>
      <c r="I5" s="9" t="inlineStr">
        <is>
          <t>Shares</t>
        </is>
      </c>
      <c r="J5" s="9" t="inlineStr">
        <is>
          <t>Comments</t>
        </is>
      </c>
      <c r="K5" s="9" t="inlineStr">
        <is>
          <t>Total Engagements</t>
        </is>
      </c>
      <c r="L5" s="9" t="inlineStr">
        <is>
          <t>Engagement Rate</t>
        </is>
      </c>
      <c r="M5" s="9" t="inlineStr">
        <is>
          <t>Impressions</t>
        </is>
      </c>
      <c r="N5" s="9" t="inlineStr">
        <is>
          <t>Notes</t>
        </is>
      </c>
      <c r="O5" s="1" t="n"/>
    </row>
    <row r="6" ht="15" customHeight="1" s="22">
      <c r="A6" s="1" t="n"/>
      <c r="B6" s="6" t="n">
        <v>46208</v>
      </c>
      <c r="C6" s="10" t="inlineStr">
        <is>
          <t>Instagram</t>
        </is>
      </c>
      <c r="D6" s="7" t="n"/>
      <c r="E6" s="7" t="n"/>
      <c r="F6" s="11">
        <f>IF(AND(ISNUMBER(D6),ISNUMBER(E6)),E6-D6,"")</f>
        <v/>
      </c>
      <c r="G6" s="7" t="n"/>
      <c r="H6" s="7" t="n"/>
      <c r="I6" s="7" t="n"/>
      <c r="J6" s="7" t="n"/>
      <c r="K6" s="7">
        <f>IF(COUNT(H6:J6)&gt;0,SUM(H6:J6),"")</f>
        <v/>
      </c>
      <c r="L6" s="8">
        <f>IF(AND(ISNUMBER(K6),ISNUMBER(E6),E6&gt;0),K6/E6,"")</f>
        <v/>
      </c>
      <c r="M6" s="7" t="n"/>
      <c r="N6" s="10" t="n"/>
      <c r="O6" s="1" t="n"/>
    </row>
    <row r="7" ht="15" customHeight="1" s="22">
      <c r="A7" s="1" t="n"/>
      <c r="B7" s="6" t="n">
        <v>46208</v>
      </c>
      <c r="C7" s="10" t="inlineStr">
        <is>
          <t>TikTok</t>
        </is>
      </c>
      <c r="D7" s="7" t="n"/>
      <c r="E7" s="7" t="n"/>
      <c r="F7" s="11">
        <f>IF(AND(ISNUMBER(D7),ISNUMBER(E7)),E7-D7,"")</f>
        <v/>
      </c>
      <c r="G7" s="7" t="n"/>
      <c r="H7" s="7" t="n"/>
      <c r="I7" s="7" t="n"/>
      <c r="J7" s="7" t="n"/>
      <c r="K7" s="7">
        <f>IF(COUNT(H7:J7)&gt;0,SUM(H7:J7),"")</f>
        <v/>
      </c>
      <c r="L7" s="8">
        <f>IF(AND(ISNUMBER(K7),ISNUMBER(E7),E7&gt;0),K7/E7,"")</f>
        <v/>
      </c>
      <c r="M7" s="7" t="n"/>
      <c r="N7" s="10" t="n"/>
      <c r="O7" s="1" t="n"/>
    </row>
    <row r="8" ht="15" customHeight="1" s="22">
      <c r="A8" s="1" t="n"/>
      <c r="B8" s="6" t="n">
        <v>46208</v>
      </c>
      <c r="C8" s="10" t="inlineStr">
        <is>
          <t>YouTube</t>
        </is>
      </c>
      <c r="D8" s="7" t="n"/>
      <c r="E8" s="7" t="n"/>
      <c r="F8" s="11">
        <f>IF(AND(ISNUMBER(D8),ISNUMBER(E8)),E8-D8,"")</f>
        <v/>
      </c>
      <c r="G8" s="7" t="n"/>
      <c r="H8" s="7" t="n"/>
      <c r="I8" s="7" t="n"/>
      <c r="J8" s="7" t="n"/>
      <c r="K8" s="7">
        <f>IF(COUNT(H8:J8)&gt;0,SUM(H8:J8),"")</f>
        <v/>
      </c>
      <c r="L8" s="8">
        <f>IF(AND(ISNUMBER(K8),ISNUMBER(E8),E8&gt;0),K8/E8,"")</f>
        <v/>
      </c>
      <c r="M8" s="7" t="n"/>
      <c r="N8" s="10" t="n"/>
      <c r="O8" s="1" t="n"/>
    </row>
    <row r="9" ht="15" customHeight="1" s="22">
      <c r="A9" s="1" t="n"/>
      <c r="B9" s="6" t="n">
        <v>46208</v>
      </c>
      <c r="C9" s="10" t="inlineStr">
        <is>
          <t>X (Twitter)</t>
        </is>
      </c>
      <c r="D9" s="7" t="n"/>
      <c r="E9" s="7" t="n"/>
      <c r="F9" s="11">
        <f>IF(AND(ISNUMBER(D9),ISNUMBER(E9)),E9-D9,"")</f>
        <v/>
      </c>
      <c r="G9" s="7" t="n"/>
      <c r="H9" s="7" t="n"/>
      <c r="I9" s="7" t="n"/>
      <c r="J9" s="7" t="n"/>
      <c r="K9" s="7">
        <f>IF(COUNT(H9:J9)&gt;0,SUM(H9:J9),"")</f>
        <v/>
      </c>
      <c r="L9" s="8">
        <f>IF(AND(ISNUMBER(K9),ISNUMBER(E9),E9&gt;0),K9/E9,"")</f>
        <v/>
      </c>
      <c r="M9" s="7" t="n"/>
      <c r="N9" s="10" t="n"/>
      <c r="O9" s="1" t="n"/>
    </row>
    <row r="10" ht="15" customHeight="1" s="22">
      <c r="A10" s="1" t="n"/>
      <c r="B10" s="6" t="n">
        <v>46208</v>
      </c>
      <c r="C10" s="10" t="inlineStr">
        <is>
          <t>Facebook</t>
        </is>
      </c>
      <c r="D10" s="7" t="n"/>
      <c r="E10" s="7" t="n"/>
      <c r="F10" s="11">
        <f>IF(AND(ISNUMBER(D10),ISNUMBER(E10)),E10-D10,"")</f>
        <v/>
      </c>
      <c r="G10" s="7" t="n"/>
      <c r="H10" s="7" t="n"/>
      <c r="I10" s="7" t="n"/>
      <c r="J10" s="7" t="n"/>
      <c r="K10" s="7">
        <f>IF(COUNT(H10:J10)&gt;0,SUM(H10:J10),"")</f>
        <v/>
      </c>
      <c r="L10" s="8">
        <f>IF(AND(ISNUMBER(K10),ISNUMBER(E10),E10&gt;0),K10/E10,"")</f>
        <v/>
      </c>
      <c r="M10" s="7" t="n"/>
      <c r="N10" s="10" t="n"/>
      <c r="O10" s="1" t="n"/>
    </row>
    <row r="11" ht="15" customHeight="1" s="22">
      <c r="A11" s="1" t="n"/>
      <c r="B11" s="6" t="n">
        <v>46208</v>
      </c>
      <c r="C11" s="10" t="inlineStr">
        <is>
          <t>LinkedIn</t>
        </is>
      </c>
      <c r="D11" s="7" t="n"/>
      <c r="E11" s="7" t="n"/>
      <c r="F11" s="11">
        <f>IF(AND(ISNUMBER(D11),ISNUMBER(E11)),E11-D11,"")</f>
        <v/>
      </c>
      <c r="G11" s="7" t="n"/>
      <c r="H11" s="7" t="n"/>
      <c r="I11" s="7" t="n"/>
      <c r="J11" s="7" t="n"/>
      <c r="K11" s="7">
        <f>IF(COUNT(H11:J11)&gt;0,SUM(H11:J11),"")</f>
        <v/>
      </c>
      <c r="L11" s="8">
        <f>IF(AND(ISNUMBER(K11),ISNUMBER(E11),E11&gt;0),K11/E11,"")</f>
        <v/>
      </c>
      <c r="M11" s="7" t="n"/>
      <c r="N11" s="10" t="n"/>
      <c r="O11" s="1" t="n"/>
    </row>
    <row r="12" ht="15" customHeight="1" s="22">
      <c r="A12" s="1" t="n"/>
      <c r="B12" s="6" t="n">
        <v>46208</v>
      </c>
      <c r="C12" s="10" t="inlineStr">
        <is>
          <t>Threads</t>
        </is>
      </c>
      <c r="D12" s="7" t="n"/>
      <c r="E12" s="7" t="n"/>
      <c r="F12" s="11">
        <f>IF(AND(ISNUMBER(D12),ISNUMBER(E12)),E12-D12,"")</f>
        <v/>
      </c>
      <c r="G12" s="7" t="n"/>
      <c r="H12" s="7" t="n"/>
      <c r="I12" s="7" t="n"/>
      <c r="J12" s="7" t="n"/>
      <c r="K12" s="7">
        <f>IF(COUNT(H12:J12)&gt;0,SUM(H12:J12),"")</f>
        <v/>
      </c>
      <c r="L12" s="8">
        <f>IF(AND(ISNUMBER(K12),ISNUMBER(E12),E12&gt;0),K12/E12,"")</f>
        <v/>
      </c>
      <c r="M12" s="7" t="n"/>
      <c r="N12" s="10" t="n"/>
      <c r="O12" s="1" t="n"/>
    </row>
    <row r="13" ht="15" customHeight="1" s="22">
      <c r="A13" s="1" t="n"/>
      <c r="B13" s="6" t="n">
        <v>46208</v>
      </c>
      <c r="C13" s="10" t="inlineStr">
        <is>
          <t>Pinterest</t>
        </is>
      </c>
      <c r="D13" s="7" t="n"/>
      <c r="E13" s="7" t="n"/>
      <c r="F13" s="11">
        <f>IF(AND(ISNUMBER(D13),ISNUMBER(E13)),E13-D13,"")</f>
        <v/>
      </c>
      <c r="G13" s="7" t="n"/>
      <c r="H13" s="7" t="n"/>
      <c r="I13" s="7" t="n"/>
      <c r="J13" s="7" t="n"/>
      <c r="K13" s="7">
        <f>IF(COUNT(H13:J13)&gt;0,SUM(H13:J13),"")</f>
        <v/>
      </c>
      <c r="L13" s="8">
        <f>IF(AND(ISNUMBER(K13),ISNUMBER(E13),E13&gt;0),K13/E13,"")</f>
        <v/>
      </c>
      <c r="M13" s="7" t="n"/>
      <c r="N13" s="10" t="n"/>
      <c r="O13" s="1" t="n"/>
    </row>
    <row r="14" ht="15" customHeight="1" s="22">
      <c r="A14" s="1" t="n"/>
      <c r="B14" s="6" t="n">
        <v>46215</v>
      </c>
      <c r="C14" s="10" t="inlineStr">
        <is>
          <t>Instagram</t>
        </is>
      </c>
      <c r="D14" s="7" t="n"/>
      <c r="E14" s="7" t="n"/>
      <c r="F14" s="11">
        <f>IF(AND(ISNUMBER(D14),ISNUMBER(E14)),E14-D14,"")</f>
        <v/>
      </c>
      <c r="G14" s="7" t="n"/>
      <c r="H14" s="7" t="n"/>
      <c r="I14" s="7" t="n"/>
      <c r="J14" s="7" t="n"/>
      <c r="K14" s="7">
        <f>IF(COUNT(H14:J14)&gt;0,SUM(H14:J14),"")</f>
        <v/>
      </c>
      <c r="L14" s="8">
        <f>IF(AND(ISNUMBER(K14),ISNUMBER(E14),E14&gt;0),K14/E14,"")</f>
        <v/>
      </c>
      <c r="M14" s="7" t="n"/>
      <c r="N14" s="10" t="n"/>
      <c r="O14" s="1" t="n"/>
    </row>
    <row r="15" ht="15" customHeight="1" s="22">
      <c r="A15" s="1" t="n"/>
      <c r="B15" s="6" t="n">
        <v>46215</v>
      </c>
      <c r="C15" s="10" t="inlineStr">
        <is>
          <t>TikTok</t>
        </is>
      </c>
      <c r="D15" s="7" t="n"/>
      <c r="E15" s="7" t="n"/>
      <c r="F15" s="11">
        <f>IF(AND(ISNUMBER(D15),ISNUMBER(E15)),E15-D15,"")</f>
        <v/>
      </c>
      <c r="G15" s="7" t="n"/>
      <c r="H15" s="7" t="n"/>
      <c r="I15" s="7" t="n"/>
      <c r="J15" s="7" t="n"/>
      <c r="K15" s="7">
        <f>IF(COUNT(H15:J15)&gt;0,SUM(H15:J15),"")</f>
        <v/>
      </c>
      <c r="L15" s="8">
        <f>IF(AND(ISNUMBER(K15),ISNUMBER(E15),E15&gt;0),K15/E15,"")</f>
        <v/>
      </c>
      <c r="M15" s="7" t="n"/>
      <c r="N15" s="10" t="n"/>
      <c r="O15" s="1" t="n"/>
    </row>
    <row r="16" ht="15" customHeight="1" s="22">
      <c r="A16" s="1" t="n"/>
      <c r="B16" s="6" t="n">
        <v>46215</v>
      </c>
      <c r="C16" s="10" t="inlineStr">
        <is>
          <t>YouTube</t>
        </is>
      </c>
      <c r="D16" s="7" t="n"/>
      <c r="E16" s="7" t="n"/>
      <c r="F16" s="11">
        <f>IF(AND(ISNUMBER(D16),ISNUMBER(E16)),E16-D16,"")</f>
        <v/>
      </c>
      <c r="G16" s="7" t="n"/>
      <c r="H16" s="7" t="n"/>
      <c r="I16" s="7" t="n"/>
      <c r="J16" s="7" t="n"/>
      <c r="K16" s="7">
        <f>IF(COUNT(H16:J16)&gt;0,SUM(H16:J16),"")</f>
        <v/>
      </c>
      <c r="L16" s="8">
        <f>IF(AND(ISNUMBER(K16),ISNUMBER(E16),E16&gt;0),K16/E16,"")</f>
        <v/>
      </c>
      <c r="M16" s="7" t="n"/>
      <c r="N16" s="10" t="n"/>
      <c r="O16" s="1" t="n"/>
    </row>
    <row r="17" ht="15" customHeight="1" s="22">
      <c r="A17" s="1" t="n"/>
      <c r="B17" s="6" t="n">
        <v>46215</v>
      </c>
      <c r="C17" s="10" t="inlineStr">
        <is>
          <t>X (Twitter)</t>
        </is>
      </c>
      <c r="D17" s="7" t="n"/>
      <c r="E17" s="7" t="n"/>
      <c r="F17" s="11">
        <f>IF(AND(ISNUMBER(D17),ISNUMBER(E17)),E17-D17,"")</f>
        <v/>
      </c>
      <c r="G17" s="7" t="n"/>
      <c r="H17" s="7" t="n"/>
      <c r="I17" s="7" t="n"/>
      <c r="J17" s="7" t="n"/>
      <c r="K17" s="7">
        <f>IF(COUNT(H17:J17)&gt;0,SUM(H17:J17),"")</f>
        <v/>
      </c>
      <c r="L17" s="8">
        <f>IF(AND(ISNUMBER(K17),ISNUMBER(E17),E17&gt;0),K17/E17,"")</f>
        <v/>
      </c>
      <c r="M17" s="7" t="n"/>
      <c r="N17" s="10" t="n"/>
      <c r="O17" s="1" t="n"/>
    </row>
    <row r="18" ht="15" customHeight="1" s="22">
      <c r="A18" s="1" t="n"/>
      <c r="B18" s="6" t="n">
        <v>46215</v>
      </c>
      <c r="C18" s="10" t="inlineStr">
        <is>
          <t>Facebook</t>
        </is>
      </c>
      <c r="D18" s="7" t="n"/>
      <c r="E18" s="7" t="n"/>
      <c r="F18" s="11">
        <f>IF(AND(ISNUMBER(D18),ISNUMBER(E18)),E18-D18,"")</f>
        <v/>
      </c>
      <c r="G18" s="7" t="n"/>
      <c r="H18" s="7" t="n"/>
      <c r="I18" s="7" t="n"/>
      <c r="J18" s="7" t="n"/>
      <c r="K18" s="7">
        <f>IF(COUNT(H18:J18)&gt;0,SUM(H18:J18),"")</f>
        <v/>
      </c>
      <c r="L18" s="8">
        <f>IF(AND(ISNUMBER(K18),ISNUMBER(E18),E18&gt;0),K18/E18,"")</f>
        <v/>
      </c>
      <c r="M18" s="7" t="n"/>
      <c r="N18" s="10" t="n"/>
      <c r="O18" s="1" t="n"/>
    </row>
    <row r="19" ht="15" customHeight="1" s="22">
      <c r="A19" s="1" t="n"/>
      <c r="B19" s="6" t="n">
        <v>46215</v>
      </c>
      <c r="C19" s="10" t="inlineStr">
        <is>
          <t>LinkedIn</t>
        </is>
      </c>
      <c r="D19" s="7" t="n"/>
      <c r="E19" s="7" t="n"/>
      <c r="F19" s="11">
        <f>IF(AND(ISNUMBER(D19),ISNUMBER(E19)),E19-D19,"")</f>
        <v/>
      </c>
      <c r="G19" s="7" t="n"/>
      <c r="H19" s="7" t="n"/>
      <c r="I19" s="7" t="n"/>
      <c r="J19" s="7" t="n"/>
      <c r="K19" s="7">
        <f>IF(COUNT(H19:J19)&gt;0,SUM(H19:J19),"")</f>
        <v/>
      </c>
      <c r="L19" s="8">
        <f>IF(AND(ISNUMBER(K19),ISNUMBER(E19),E19&gt;0),K19/E19,"")</f>
        <v/>
      </c>
      <c r="M19" s="7" t="n"/>
      <c r="N19" s="10" t="n"/>
      <c r="O19" s="1" t="n"/>
    </row>
    <row r="20" ht="15" customHeight="1" s="22">
      <c r="A20" s="1" t="n"/>
      <c r="B20" s="6" t="n">
        <v>46215</v>
      </c>
      <c r="C20" s="10" t="inlineStr">
        <is>
          <t>Threads</t>
        </is>
      </c>
      <c r="D20" s="7" t="n"/>
      <c r="E20" s="7" t="n"/>
      <c r="F20" s="11">
        <f>IF(AND(ISNUMBER(D20),ISNUMBER(E20)),E20-D20,"")</f>
        <v/>
      </c>
      <c r="G20" s="7" t="n"/>
      <c r="H20" s="7" t="n"/>
      <c r="I20" s="7" t="n"/>
      <c r="J20" s="7" t="n"/>
      <c r="K20" s="7">
        <f>IF(COUNT(H20:J20)&gt;0,SUM(H20:J20),"")</f>
        <v/>
      </c>
      <c r="L20" s="8">
        <f>IF(AND(ISNUMBER(K20),ISNUMBER(E20),E20&gt;0),K20/E20,"")</f>
        <v/>
      </c>
      <c r="M20" s="7" t="n"/>
      <c r="N20" s="10" t="n"/>
      <c r="O20" s="1" t="n"/>
    </row>
    <row r="21" ht="15" customHeight="1" s="22">
      <c r="A21" s="1" t="n"/>
      <c r="B21" s="6" t="n">
        <v>46215</v>
      </c>
      <c r="C21" s="10" t="inlineStr">
        <is>
          <t>Pinterest</t>
        </is>
      </c>
      <c r="D21" s="7" t="n"/>
      <c r="E21" s="7" t="n"/>
      <c r="F21" s="11">
        <f>IF(AND(ISNUMBER(D21),ISNUMBER(E21)),E21-D21,"")</f>
        <v/>
      </c>
      <c r="G21" s="7" t="n"/>
      <c r="H21" s="7" t="n"/>
      <c r="I21" s="7" t="n"/>
      <c r="J21" s="7" t="n"/>
      <c r="K21" s="7">
        <f>IF(COUNT(H21:J21)&gt;0,SUM(H21:J21),"")</f>
        <v/>
      </c>
      <c r="L21" s="8">
        <f>IF(AND(ISNUMBER(K21),ISNUMBER(E21),E21&gt;0),K21/E21,"")</f>
        <v/>
      </c>
      <c r="M21" s="7" t="n"/>
      <c r="N21" s="10" t="n"/>
      <c r="O21" s="1" t="n"/>
    </row>
    <row r="22" ht="15" customHeight="1" s="22">
      <c r="A22" s="1" t="n"/>
      <c r="B22" s="6" t="n">
        <v>46222</v>
      </c>
      <c r="C22" s="10" t="inlineStr">
        <is>
          <t>Instagram</t>
        </is>
      </c>
      <c r="D22" s="7" t="n"/>
      <c r="E22" s="7" t="n"/>
      <c r="F22" s="11">
        <f>IF(AND(ISNUMBER(D22),ISNUMBER(E22)),E22-D22,"")</f>
        <v/>
      </c>
      <c r="G22" s="7" t="n"/>
      <c r="H22" s="7" t="n"/>
      <c r="I22" s="7" t="n"/>
      <c r="J22" s="7" t="n"/>
      <c r="K22" s="7">
        <f>IF(COUNT(H22:J22)&gt;0,SUM(H22:J22),"")</f>
        <v/>
      </c>
      <c r="L22" s="8">
        <f>IF(AND(ISNUMBER(K22),ISNUMBER(E22),E22&gt;0),K22/E22,"")</f>
        <v/>
      </c>
      <c r="M22" s="7" t="n"/>
      <c r="N22" s="10" t="n"/>
      <c r="O22" s="1" t="n"/>
    </row>
    <row r="23" ht="15" customHeight="1" s="22">
      <c r="A23" s="1" t="n"/>
      <c r="B23" s="6" t="n">
        <v>46222</v>
      </c>
      <c r="C23" s="10" t="inlineStr">
        <is>
          <t>TikTok</t>
        </is>
      </c>
      <c r="D23" s="7" t="n"/>
      <c r="E23" s="7" t="n"/>
      <c r="F23" s="11">
        <f>IF(AND(ISNUMBER(D23),ISNUMBER(E23)),E23-D23,"")</f>
        <v/>
      </c>
      <c r="G23" s="7" t="n"/>
      <c r="H23" s="7" t="n"/>
      <c r="I23" s="7" t="n"/>
      <c r="J23" s="7" t="n"/>
      <c r="K23" s="7">
        <f>IF(COUNT(H23:J23)&gt;0,SUM(H23:J23),"")</f>
        <v/>
      </c>
      <c r="L23" s="8">
        <f>IF(AND(ISNUMBER(K23),ISNUMBER(E23),E23&gt;0),K23/E23,"")</f>
        <v/>
      </c>
      <c r="M23" s="7" t="n"/>
      <c r="N23" s="10" t="n"/>
      <c r="O23" s="1" t="n"/>
    </row>
    <row r="24" ht="15" customHeight="1" s="22">
      <c r="A24" s="1" t="n"/>
      <c r="B24" s="6" t="n">
        <v>46222</v>
      </c>
      <c r="C24" s="10" t="inlineStr">
        <is>
          <t>YouTube</t>
        </is>
      </c>
      <c r="D24" s="7" t="n"/>
      <c r="E24" s="7" t="n"/>
      <c r="F24" s="11">
        <f>IF(AND(ISNUMBER(D24),ISNUMBER(E24)),E24-D24,"")</f>
        <v/>
      </c>
      <c r="G24" s="7" t="n"/>
      <c r="H24" s="7" t="n"/>
      <c r="I24" s="7" t="n"/>
      <c r="J24" s="7" t="n"/>
      <c r="K24" s="7">
        <f>IF(COUNT(H24:J24)&gt;0,SUM(H24:J24),"")</f>
        <v/>
      </c>
      <c r="L24" s="8">
        <f>IF(AND(ISNUMBER(K24),ISNUMBER(E24),E24&gt;0),K24/E24,"")</f>
        <v/>
      </c>
      <c r="M24" s="7" t="n"/>
      <c r="N24" s="10" t="n"/>
      <c r="O24" s="1" t="n"/>
    </row>
    <row r="25" ht="15" customHeight="1" s="22">
      <c r="A25" s="1" t="n"/>
      <c r="B25" s="6" t="n">
        <v>46222</v>
      </c>
      <c r="C25" s="10" t="inlineStr">
        <is>
          <t>X (Twitter)</t>
        </is>
      </c>
      <c r="D25" s="7" t="n"/>
      <c r="E25" s="7" t="n"/>
      <c r="F25" s="11">
        <f>IF(AND(ISNUMBER(D25),ISNUMBER(E25)),E25-D25,"")</f>
        <v/>
      </c>
      <c r="G25" s="7" t="n"/>
      <c r="H25" s="7" t="n"/>
      <c r="I25" s="7" t="n"/>
      <c r="J25" s="7" t="n"/>
      <c r="K25" s="7">
        <f>IF(COUNT(H25:J25)&gt;0,SUM(H25:J25),"")</f>
        <v/>
      </c>
      <c r="L25" s="8">
        <f>IF(AND(ISNUMBER(K25),ISNUMBER(E25),E25&gt;0),K25/E25,"")</f>
        <v/>
      </c>
      <c r="M25" s="7" t="n"/>
      <c r="N25" s="10" t="n"/>
      <c r="O25" s="1" t="n"/>
    </row>
    <row r="26" ht="15" customHeight="1" s="22">
      <c r="A26" s="1" t="n"/>
      <c r="B26" s="6" t="n">
        <v>46222</v>
      </c>
      <c r="C26" s="10" t="inlineStr">
        <is>
          <t>Facebook</t>
        </is>
      </c>
      <c r="D26" s="7" t="n"/>
      <c r="E26" s="7" t="n"/>
      <c r="F26" s="11">
        <f>IF(AND(ISNUMBER(D26),ISNUMBER(E26)),E26-D26,"")</f>
        <v/>
      </c>
      <c r="G26" s="7" t="n"/>
      <c r="H26" s="7" t="n"/>
      <c r="I26" s="7" t="n"/>
      <c r="J26" s="7" t="n"/>
      <c r="K26" s="7">
        <f>IF(COUNT(H26:J26)&gt;0,SUM(H26:J26),"")</f>
        <v/>
      </c>
      <c r="L26" s="8">
        <f>IF(AND(ISNUMBER(K26),ISNUMBER(E26),E26&gt;0),K26/E26,"")</f>
        <v/>
      </c>
      <c r="M26" s="7" t="n"/>
      <c r="N26" s="10" t="n"/>
      <c r="O26" s="1" t="n"/>
    </row>
    <row r="27" ht="15" customHeight="1" s="22">
      <c r="A27" s="1" t="n"/>
      <c r="B27" s="6" t="n">
        <v>46222</v>
      </c>
      <c r="C27" s="10" t="inlineStr">
        <is>
          <t>LinkedIn</t>
        </is>
      </c>
      <c r="D27" s="7" t="n"/>
      <c r="E27" s="7" t="n"/>
      <c r="F27" s="11">
        <f>IF(AND(ISNUMBER(D27),ISNUMBER(E27)),E27-D27,"")</f>
        <v/>
      </c>
      <c r="G27" s="7" t="n"/>
      <c r="H27" s="7" t="n"/>
      <c r="I27" s="7" t="n"/>
      <c r="J27" s="7" t="n"/>
      <c r="K27" s="7">
        <f>IF(COUNT(H27:J27)&gt;0,SUM(H27:J27),"")</f>
        <v/>
      </c>
      <c r="L27" s="8">
        <f>IF(AND(ISNUMBER(K27),ISNUMBER(E27),E27&gt;0),K27/E27,"")</f>
        <v/>
      </c>
      <c r="M27" s="7" t="n"/>
      <c r="N27" s="10" t="n"/>
      <c r="O27" s="1" t="n"/>
    </row>
    <row r="28" ht="15" customHeight="1" s="22">
      <c r="A28" s="1" t="n"/>
      <c r="B28" s="6" t="n">
        <v>46222</v>
      </c>
      <c r="C28" s="10" t="inlineStr">
        <is>
          <t>Threads</t>
        </is>
      </c>
      <c r="D28" s="7" t="n"/>
      <c r="E28" s="7" t="n"/>
      <c r="F28" s="11">
        <f>IF(AND(ISNUMBER(D28),ISNUMBER(E28)),E28-D28,"")</f>
        <v/>
      </c>
      <c r="G28" s="7" t="n"/>
      <c r="H28" s="7" t="n"/>
      <c r="I28" s="7" t="n"/>
      <c r="J28" s="7" t="n"/>
      <c r="K28" s="7">
        <f>IF(COUNT(H28:J28)&gt;0,SUM(H28:J28),"")</f>
        <v/>
      </c>
      <c r="L28" s="8">
        <f>IF(AND(ISNUMBER(K28),ISNUMBER(E28),E28&gt;0),K28/E28,"")</f>
        <v/>
      </c>
      <c r="M28" s="7" t="n"/>
      <c r="N28" s="10" t="n"/>
      <c r="O28" s="1" t="n"/>
    </row>
    <row r="29" ht="15" customHeight="1" s="22">
      <c r="A29" s="1" t="n"/>
      <c r="B29" s="6" t="n">
        <v>46222</v>
      </c>
      <c r="C29" s="10" t="inlineStr">
        <is>
          <t>Pinterest</t>
        </is>
      </c>
      <c r="D29" s="7" t="n"/>
      <c r="E29" s="7" t="n"/>
      <c r="F29" s="11">
        <f>IF(AND(ISNUMBER(D29),ISNUMBER(E29)),E29-D29,"")</f>
        <v/>
      </c>
      <c r="G29" s="7" t="n"/>
      <c r="H29" s="7" t="n"/>
      <c r="I29" s="7" t="n"/>
      <c r="J29" s="7" t="n"/>
      <c r="K29" s="7">
        <f>IF(COUNT(H29:J29)&gt;0,SUM(H29:J29),"")</f>
        <v/>
      </c>
      <c r="L29" s="8">
        <f>IF(AND(ISNUMBER(K29),ISNUMBER(E29),E29&gt;0),K29/E29,"")</f>
        <v/>
      </c>
      <c r="M29" s="7" t="n"/>
      <c r="N29" s="10" t="n"/>
      <c r="O29" s="1" t="n"/>
    </row>
    <row r="30" ht="15" customHeight="1" s="22">
      <c r="A30" s="1" t="n"/>
      <c r="B30" s="6" t="n">
        <v>46229</v>
      </c>
      <c r="C30" s="10" t="inlineStr">
        <is>
          <t>Instagram</t>
        </is>
      </c>
      <c r="D30" s="7" t="n"/>
      <c r="E30" s="7" t="n"/>
      <c r="F30" s="11">
        <f>IF(AND(ISNUMBER(D30),ISNUMBER(E30)),E30-D30,"")</f>
        <v/>
      </c>
      <c r="G30" s="7" t="n"/>
      <c r="H30" s="7" t="n"/>
      <c r="I30" s="7" t="n"/>
      <c r="J30" s="7" t="n"/>
      <c r="K30" s="7">
        <f>IF(COUNT(H30:J30)&gt;0,SUM(H30:J30),"")</f>
        <v/>
      </c>
      <c r="L30" s="8">
        <f>IF(AND(ISNUMBER(K30),ISNUMBER(E30),E30&gt;0),K30/E30,"")</f>
        <v/>
      </c>
      <c r="M30" s="7" t="n"/>
      <c r="N30" s="10" t="n"/>
      <c r="O30" s="1" t="n"/>
    </row>
    <row r="31" ht="15" customHeight="1" s="22">
      <c r="A31" s="1" t="n"/>
      <c r="B31" s="6" t="n">
        <v>46229</v>
      </c>
      <c r="C31" s="10" t="inlineStr">
        <is>
          <t>TikTok</t>
        </is>
      </c>
      <c r="D31" s="7" t="n"/>
      <c r="E31" s="7" t="n"/>
      <c r="F31" s="11">
        <f>IF(AND(ISNUMBER(D31),ISNUMBER(E31)),E31-D31,"")</f>
        <v/>
      </c>
      <c r="G31" s="7" t="n"/>
      <c r="H31" s="7" t="n"/>
      <c r="I31" s="7" t="n"/>
      <c r="J31" s="7" t="n"/>
      <c r="K31" s="7">
        <f>IF(COUNT(H31:J31)&gt;0,SUM(H31:J31),"")</f>
        <v/>
      </c>
      <c r="L31" s="8">
        <f>IF(AND(ISNUMBER(K31),ISNUMBER(E31),E31&gt;0),K31/E31,"")</f>
        <v/>
      </c>
      <c r="M31" s="7" t="n"/>
      <c r="N31" s="10" t="n"/>
      <c r="O31" s="1" t="n"/>
    </row>
    <row r="32" ht="15" customHeight="1" s="22">
      <c r="A32" s="1" t="n"/>
      <c r="B32" s="6" t="n">
        <v>46229</v>
      </c>
      <c r="C32" s="10" t="inlineStr">
        <is>
          <t>YouTube</t>
        </is>
      </c>
      <c r="D32" s="7" t="n"/>
      <c r="E32" s="7" t="n"/>
      <c r="F32" s="11">
        <f>IF(AND(ISNUMBER(D32),ISNUMBER(E32)),E32-D32,"")</f>
        <v/>
      </c>
      <c r="G32" s="7" t="n"/>
      <c r="H32" s="7" t="n"/>
      <c r="I32" s="7" t="n"/>
      <c r="J32" s="7" t="n"/>
      <c r="K32" s="7">
        <f>IF(COUNT(H32:J32)&gt;0,SUM(H32:J32),"")</f>
        <v/>
      </c>
      <c r="L32" s="8">
        <f>IF(AND(ISNUMBER(K32),ISNUMBER(E32),E32&gt;0),K32/E32,"")</f>
        <v/>
      </c>
      <c r="M32" s="7" t="n"/>
      <c r="N32" s="10" t="n"/>
      <c r="O32" s="1" t="n"/>
    </row>
    <row r="33" ht="15" customHeight="1" s="22">
      <c r="A33" s="1" t="n"/>
      <c r="B33" s="6" t="n">
        <v>46229</v>
      </c>
      <c r="C33" s="10" t="inlineStr">
        <is>
          <t>X (Twitter)</t>
        </is>
      </c>
      <c r="D33" s="7" t="n"/>
      <c r="E33" s="7" t="n"/>
      <c r="F33" s="11">
        <f>IF(AND(ISNUMBER(D33),ISNUMBER(E33)),E33-D33,"")</f>
        <v/>
      </c>
      <c r="G33" s="7" t="n"/>
      <c r="H33" s="7" t="n"/>
      <c r="I33" s="7" t="n"/>
      <c r="J33" s="7" t="n"/>
      <c r="K33" s="7">
        <f>IF(COUNT(H33:J33)&gt;0,SUM(H33:J33),"")</f>
        <v/>
      </c>
      <c r="L33" s="8">
        <f>IF(AND(ISNUMBER(K33),ISNUMBER(E33),E33&gt;0),K33/E33,"")</f>
        <v/>
      </c>
      <c r="M33" s="7" t="n"/>
      <c r="N33" s="10" t="n"/>
      <c r="O33" s="1" t="n"/>
    </row>
    <row r="34" ht="15" customHeight="1" s="22">
      <c r="A34" s="1" t="n"/>
      <c r="B34" s="6" t="n">
        <v>46229</v>
      </c>
      <c r="C34" s="10" t="inlineStr">
        <is>
          <t>Facebook</t>
        </is>
      </c>
      <c r="D34" s="7" t="n"/>
      <c r="E34" s="7" t="n"/>
      <c r="F34" s="11">
        <f>IF(AND(ISNUMBER(D34),ISNUMBER(E34)),E34-D34,"")</f>
        <v/>
      </c>
      <c r="G34" s="7" t="n"/>
      <c r="H34" s="7" t="n"/>
      <c r="I34" s="7" t="n"/>
      <c r="J34" s="7" t="n"/>
      <c r="K34" s="7">
        <f>IF(COUNT(H34:J34)&gt;0,SUM(H34:J34),"")</f>
        <v/>
      </c>
      <c r="L34" s="8">
        <f>IF(AND(ISNUMBER(K34),ISNUMBER(E34),E34&gt;0),K34/E34,"")</f>
        <v/>
      </c>
      <c r="M34" s="7" t="n"/>
      <c r="N34" s="10" t="n"/>
      <c r="O34" s="1" t="n"/>
    </row>
    <row r="35" ht="15" customHeight="1" s="22">
      <c r="A35" s="1" t="n"/>
      <c r="B35" s="6" t="n">
        <v>46229</v>
      </c>
      <c r="C35" s="10" t="inlineStr">
        <is>
          <t>LinkedIn</t>
        </is>
      </c>
      <c r="D35" s="7" t="n"/>
      <c r="E35" s="7" t="n"/>
      <c r="F35" s="11">
        <f>IF(AND(ISNUMBER(D35),ISNUMBER(E35)),E35-D35,"")</f>
        <v/>
      </c>
      <c r="G35" s="7" t="n"/>
      <c r="H35" s="7" t="n"/>
      <c r="I35" s="7" t="n"/>
      <c r="J35" s="7" t="n"/>
      <c r="K35" s="7">
        <f>IF(COUNT(H35:J35)&gt;0,SUM(H35:J35),"")</f>
        <v/>
      </c>
      <c r="L35" s="8">
        <f>IF(AND(ISNUMBER(K35),ISNUMBER(E35),E35&gt;0),K35/E35,"")</f>
        <v/>
      </c>
      <c r="M35" s="7" t="n"/>
      <c r="N35" s="10" t="n"/>
      <c r="O35" s="1" t="n"/>
    </row>
    <row r="36" ht="15" customHeight="1" s="22">
      <c r="A36" s="1" t="n"/>
      <c r="B36" s="6" t="n">
        <v>46229</v>
      </c>
      <c r="C36" s="10" t="inlineStr">
        <is>
          <t>Threads</t>
        </is>
      </c>
      <c r="D36" s="7" t="n"/>
      <c r="E36" s="7" t="n"/>
      <c r="F36" s="11">
        <f>IF(AND(ISNUMBER(D36),ISNUMBER(E36)),E36-D36,"")</f>
        <v/>
      </c>
      <c r="G36" s="7" t="n"/>
      <c r="H36" s="7" t="n"/>
      <c r="I36" s="7" t="n"/>
      <c r="J36" s="7" t="n"/>
      <c r="K36" s="7">
        <f>IF(COUNT(H36:J36)&gt;0,SUM(H36:J36),"")</f>
        <v/>
      </c>
      <c r="L36" s="8">
        <f>IF(AND(ISNUMBER(K36),ISNUMBER(E36),E36&gt;0),K36/E36,"")</f>
        <v/>
      </c>
      <c r="M36" s="7" t="n"/>
      <c r="N36" s="10" t="n"/>
      <c r="O36" s="1" t="n"/>
    </row>
    <row r="37" ht="15" customHeight="1" s="22">
      <c r="A37" s="1" t="n"/>
      <c r="B37" s="6" t="n">
        <v>46229</v>
      </c>
      <c r="C37" s="10" t="inlineStr">
        <is>
          <t>Pinterest</t>
        </is>
      </c>
      <c r="D37" s="7" t="n"/>
      <c r="E37" s="7" t="n"/>
      <c r="F37" s="11">
        <f>IF(AND(ISNUMBER(D37),ISNUMBER(E37)),E37-D37,"")</f>
        <v/>
      </c>
      <c r="G37" s="7" t="n"/>
      <c r="H37" s="7" t="n"/>
      <c r="I37" s="7" t="n"/>
      <c r="J37" s="7" t="n"/>
      <c r="K37" s="7">
        <f>IF(COUNT(H37:J37)&gt;0,SUM(H37:J37),"")</f>
        <v/>
      </c>
      <c r="L37" s="8">
        <f>IF(AND(ISNUMBER(K37),ISNUMBER(E37),E37&gt;0),K37/E37,"")</f>
        <v/>
      </c>
      <c r="M37" s="7" t="n"/>
      <c r="N37" s="10" t="n"/>
      <c r="O37" s="1" t="n"/>
    </row>
    <row r="38" ht="15" customHeight="1" s="22">
      <c r="A38" s="1" t="n"/>
      <c r="B38" s="12" t="n"/>
      <c r="C38" s="10" t="n"/>
      <c r="D38" s="7" t="n"/>
      <c r="E38" s="7" t="n"/>
      <c r="F38" s="11">
        <f>IF(AND(ISNUMBER(D38),ISNUMBER(E38)),E38-D38,"")</f>
        <v/>
      </c>
      <c r="G38" s="7" t="n"/>
      <c r="H38" s="7" t="n"/>
      <c r="I38" s="7" t="n"/>
      <c r="J38" s="7" t="n"/>
      <c r="K38" s="7">
        <f>IF(COUNT(H38:J38)&gt;0,SUM(H38:J38),"")</f>
        <v/>
      </c>
      <c r="L38" s="8">
        <f>IF(AND(ISNUMBER(K38),ISNUMBER(E38),E38&gt;0),K38/E38,"")</f>
        <v/>
      </c>
      <c r="M38" s="7" t="n"/>
      <c r="N38" s="10" t="n"/>
      <c r="O38" s="1" t="n"/>
    </row>
    <row r="39" ht="15" customHeight="1" s="22">
      <c r="A39" s="1" t="n"/>
      <c r="B39" s="12" t="n"/>
      <c r="C39" s="10" t="n"/>
      <c r="D39" s="7" t="n"/>
      <c r="E39" s="7" t="n"/>
      <c r="F39" s="11">
        <f>IF(AND(ISNUMBER(D39),ISNUMBER(E39)),E39-D39,"")</f>
        <v/>
      </c>
      <c r="G39" s="7" t="n"/>
      <c r="H39" s="7" t="n"/>
      <c r="I39" s="7" t="n"/>
      <c r="J39" s="7" t="n"/>
      <c r="K39" s="7">
        <f>IF(COUNT(H39:J39)&gt;0,SUM(H39:J39),"")</f>
        <v/>
      </c>
      <c r="L39" s="8">
        <f>IF(AND(ISNUMBER(K39),ISNUMBER(E39),E39&gt;0),K39/E39,"")</f>
        <v/>
      </c>
      <c r="M39" s="7" t="n"/>
      <c r="N39" s="10" t="n"/>
      <c r="O39" s="1" t="n"/>
    </row>
    <row r="40" ht="15" customHeight="1" s="22">
      <c r="A40" s="1" t="n"/>
      <c r="B40" s="12" t="n"/>
      <c r="C40" s="10" t="n"/>
      <c r="D40" s="7" t="n"/>
      <c r="E40" s="7" t="n"/>
      <c r="F40" s="11">
        <f>IF(AND(ISNUMBER(D40),ISNUMBER(E40)),E40-D40,"")</f>
        <v/>
      </c>
      <c r="G40" s="7" t="n"/>
      <c r="H40" s="7" t="n"/>
      <c r="I40" s="7" t="n"/>
      <c r="J40" s="7" t="n"/>
      <c r="K40" s="7">
        <f>IF(COUNT(H40:J40)&gt;0,SUM(H40:J40),"")</f>
        <v/>
      </c>
      <c r="L40" s="8">
        <f>IF(AND(ISNUMBER(K40),ISNUMBER(E40),E40&gt;0),K40/E40,"")</f>
        <v/>
      </c>
      <c r="M40" s="7" t="n"/>
      <c r="N40" s="10" t="n"/>
      <c r="O40" s="1" t="n"/>
    </row>
    <row r="41" ht="15" customHeight="1" s="22">
      <c r="A41" s="1" t="n"/>
      <c r="B41" s="12" t="n"/>
      <c r="C41" s="10" t="n"/>
      <c r="D41" s="7" t="n"/>
      <c r="E41" s="7" t="n"/>
      <c r="F41" s="11">
        <f>IF(AND(ISNUMBER(D41),ISNUMBER(E41)),E41-D41,"")</f>
        <v/>
      </c>
      <c r="G41" s="7" t="n"/>
      <c r="H41" s="7" t="n"/>
      <c r="I41" s="7" t="n"/>
      <c r="J41" s="7" t="n"/>
      <c r="K41" s="7">
        <f>IF(COUNT(H41:J41)&gt;0,SUM(H41:J41),"")</f>
        <v/>
      </c>
      <c r="L41" s="8">
        <f>IF(AND(ISNUMBER(K41),ISNUMBER(E41),E41&gt;0),K41/E41,"")</f>
        <v/>
      </c>
      <c r="M41" s="7" t="n"/>
      <c r="N41" s="10" t="n"/>
      <c r="O41" s="1" t="n"/>
    </row>
    <row r="42" ht="15" customHeight="1" s="22">
      <c r="A42" s="1" t="n"/>
      <c r="B42" s="12" t="n"/>
      <c r="C42" s="10" t="n"/>
      <c r="D42" s="7" t="n"/>
      <c r="E42" s="7" t="n"/>
      <c r="F42" s="11">
        <f>IF(AND(ISNUMBER(D42),ISNUMBER(E42)),E42-D42,"")</f>
        <v/>
      </c>
      <c r="G42" s="7" t="n"/>
      <c r="H42" s="7" t="n"/>
      <c r="I42" s="7" t="n"/>
      <c r="J42" s="7" t="n"/>
      <c r="K42" s="7">
        <f>IF(COUNT(H42:J42)&gt;0,SUM(H42:J42),"")</f>
        <v/>
      </c>
      <c r="L42" s="8">
        <f>IF(AND(ISNUMBER(K42),ISNUMBER(E42),E42&gt;0),K42/E42,"")</f>
        <v/>
      </c>
      <c r="M42" s="7" t="n"/>
      <c r="N42" s="10" t="n"/>
      <c r="O42" s="1" t="n"/>
    </row>
    <row r="43" ht="15" customHeight="1" s="22">
      <c r="A43" s="1" t="n"/>
      <c r="B43" s="12" t="n"/>
      <c r="C43" s="10" t="n"/>
      <c r="D43" s="7" t="n"/>
      <c r="E43" s="7" t="n"/>
      <c r="F43" s="11">
        <f>IF(AND(ISNUMBER(D43),ISNUMBER(E43)),E43-D43,"")</f>
        <v/>
      </c>
      <c r="G43" s="7" t="n"/>
      <c r="H43" s="7" t="n"/>
      <c r="I43" s="7" t="n"/>
      <c r="J43" s="7" t="n"/>
      <c r="K43" s="7">
        <f>IF(COUNT(H43:J43)&gt;0,SUM(H43:J43),"")</f>
        <v/>
      </c>
      <c r="L43" s="8">
        <f>IF(AND(ISNUMBER(K43),ISNUMBER(E43),E43&gt;0),K43/E43,"")</f>
        <v/>
      </c>
      <c r="M43" s="7" t="n"/>
      <c r="N43" s="10" t="n"/>
      <c r="O43" s="1" t="n"/>
    </row>
    <row r="44" ht="15" customHeight="1" s="22">
      <c r="A44" s="1" t="n"/>
      <c r="B44" s="12" t="n"/>
      <c r="C44" s="10" t="n"/>
      <c r="D44" s="7" t="n"/>
      <c r="E44" s="7" t="n"/>
      <c r="F44" s="11">
        <f>IF(AND(ISNUMBER(D44),ISNUMBER(E44)),E44-D44,"")</f>
        <v/>
      </c>
      <c r="G44" s="7" t="n"/>
      <c r="H44" s="7" t="n"/>
      <c r="I44" s="7" t="n"/>
      <c r="J44" s="7" t="n"/>
      <c r="K44" s="7">
        <f>IF(COUNT(H44:J44)&gt;0,SUM(H44:J44),"")</f>
        <v/>
      </c>
      <c r="L44" s="8">
        <f>IF(AND(ISNUMBER(K44),ISNUMBER(E44),E44&gt;0),K44/E44,"")</f>
        <v/>
      </c>
      <c r="M44" s="7" t="n"/>
      <c r="N44" s="10" t="n"/>
      <c r="O44" s="1" t="n"/>
    </row>
    <row r="45" ht="15" customHeight="1" s="22">
      <c r="A45" s="1" t="n"/>
      <c r="B45" s="12" t="n"/>
      <c r="C45" s="10" t="n"/>
      <c r="D45" s="7" t="n"/>
      <c r="E45" s="7" t="n"/>
      <c r="F45" s="11">
        <f>IF(AND(ISNUMBER(D45),ISNUMBER(E45)),E45-D45,"")</f>
        <v/>
      </c>
      <c r="G45" s="7" t="n"/>
      <c r="H45" s="7" t="n"/>
      <c r="I45" s="7" t="n"/>
      <c r="J45" s="7" t="n"/>
      <c r="K45" s="7">
        <f>IF(COUNT(H45:J45)&gt;0,SUM(H45:J45),"")</f>
        <v/>
      </c>
      <c r="L45" s="8">
        <f>IF(AND(ISNUMBER(K45),ISNUMBER(E45),E45&gt;0),K45/E45,"")</f>
        <v/>
      </c>
      <c r="M45" s="7" t="n"/>
      <c r="N45" s="10" t="n"/>
      <c r="O45" s="1" t="n"/>
    </row>
    <row r="46" ht="15" customHeight="1" s="22">
      <c r="A46" s="1" t="n"/>
      <c r="B46" s="12" t="n"/>
      <c r="C46" s="10" t="n"/>
      <c r="D46" s="7" t="n"/>
      <c r="E46" s="7" t="n"/>
      <c r="F46" s="11">
        <f>IF(AND(ISNUMBER(D46),ISNUMBER(E46)),E46-D46,"")</f>
        <v/>
      </c>
      <c r="G46" s="7" t="n"/>
      <c r="H46" s="7" t="n"/>
      <c r="I46" s="7" t="n"/>
      <c r="J46" s="7" t="n"/>
      <c r="K46" s="7">
        <f>IF(COUNT(H46:J46)&gt;0,SUM(H46:J46),"")</f>
        <v/>
      </c>
      <c r="L46" s="8">
        <f>IF(AND(ISNUMBER(K46),ISNUMBER(E46),E46&gt;0),K46/E46,"")</f>
        <v/>
      </c>
      <c r="M46" s="7" t="n"/>
      <c r="N46" s="10" t="n"/>
      <c r="O46" s="1" t="n"/>
    </row>
    <row r="47" ht="15" customHeight="1" s="22">
      <c r="A47" s="1" t="n"/>
      <c r="B47" s="12" t="n"/>
      <c r="C47" s="10" t="n"/>
      <c r="D47" s="7" t="n"/>
      <c r="E47" s="7" t="n"/>
      <c r="F47" s="11">
        <f>IF(AND(ISNUMBER(D47),ISNUMBER(E47)),E47-D47,"")</f>
        <v/>
      </c>
      <c r="G47" s="7" t="n"/>
      <c r="H47" s="7" t="n"/>
      <c r="I47" s="7" t="n"/>
      <c r="J47" s="7" t="n"/>
      <c r="K47" s="7">
        <f>IF(COUNT(H47:J47)&gt;0,SUM(H47:J47),"")</f>
        <v/>
      </c>
      <c r="L47" s="8">
        <f>IF(AND(ISNUMBER(K47),ISNUMBER(E47),E47&gt;0),K47/E47,"")</f>
        <v/>
      </c>
      <c r="M47" s="7" t="n"/>
      <c r="N47" s="10" t="n"/>
      <c r="O47" s="1" t="n"/>
    </row>
    <row r="48" ht="15" customHeight="1" s="22">
      <c r="A48" s="1" t="n"/>
      <c r="B48" s="12" t="n"/>
      <c r="C48" s="10" t="n"/>
      <c r="D48" s="7" t="n"/>
      <c r="E48" s="7" t="n"/>
      <c r="F48" s="11">
        <f>IF(AND(ISNUMBER(D48),ISNUMBER(E48)),E48-D48,"")</f>
        <v/>
      </c>
      <c r="G48" s="7" t="n"/>
      <c r="H48" s="7" t="n"/>
      <c r="I48" s="7" t="n"/>
      <c r="J48" s="7" t="n"/>
      <c r="K48" s="7">
        <f>IF(COUNT(H48:J48)&gt;0,SUM(H48:J48),"")</f>
        <v/>
      </c>
      <c r="L48" s="8">
        <f>IF(AND(ISNUMBER(K48),ISNUMBER(E48),E48&gt;0),K48/E48,"")</f>
        <v/>
      </c>
      <c r="M48" s="7" t="n"/>
      <c r="N48" s="10" t="n"/>
      <c r="O48" s="1" t="n"/>
    </row>
    <row r="49" ht="15" customHeight="1" s="22">
      <c r="A49" s="1" t="n"/>
      <c r="B49" s="12" t="n"/>
      <c r="C49" s="10" t="n"/>
      <c r="D49" s="7" t="n"/>
      <c r="E49" s="7" t="n"/>
      <c r="F49" s="11">
        <f>IF(AND(ISNUMBER(D49),ISNUMBER(E49)),E49-D49,"")</f>
        <v/>
      </c>
      <c r="G49" s="7" t="n"/>
      <c r="H49" s="7" t="n"/>
      <c r="I49" s="7" t="n"/>
      <c r="J49" s="7" t="n"/>
      <c r="K49" s="7">
        <f>IF(COUNT(H49:J49)&gt;0,SUM(H49:J49),"")</f>
        <v/>
      </c>
      <c r="L49" s="8">
        <f>IF(AND(ISNUMBER(K49),ISNUMBER(E49),E49&gt;0),K49/E49,"")</f>
        <v/>
      </c>
      <c r="M49" s="7" t="n"/>
      <c r="N49" s="10" t="n"/>
      <c r="O49" s="1" t="n"/>
    </row>
    <row r="50" ht="15" customHeight="1" s="22">
      <c r="A50" s="1" t="n"/>
      <c r="B50" s="12" t="n"/>
      <c r="C50" s="10" t="n"/>
      <c r="D50" s="7" t="n"/>
      <c r="E50" s="7" t="n"/>
      <c r="F50" s="11">
        <f>IF(AND(ISNUMBER(D50),ISNUMBER(E50)),E50-D50,"")</f>
        <v/>
      </c>
      <c r="G50" s="7" t="n"/>
      <c r="H50" s="7" t="n"/>
      <c r="I50" s="7" t="n"/>
      <c r="J50" s="7" t="n"/>
      <c r="K50" s="7">
        <f>IF(COUNT(H50:J50)&gt;0,SUM(H50:J50),"")</f>
        <v/>
      </c>
      <c r="L50" s="8">
        <f>IF(AND(ISNUMBER(K50),ISNUMBER(E50),E50&gt;0),K50/E50,"")</f>
        <v/>
      </c>
      <c r="M50" s="7" t="n"/>
      <c r="N50" s="10" t="n"/>
      <c r="O50" s="1" t="n"/>
    </row>
    <row r="51" ht="15" customHeight="1" s="22">
      <c r="A51" s="1" t="n"/>
      <c r="B51" s="12" t="n"/>
      <c r="C51" s="10" t="n"/>
      <c r="D51" s="7" t="n"/>
      <c r="E51" s="7" t="n"/>
      <c r="F51" s="11">
        <f>IF(AND(ISNUMBER(D51),ISNUMBER(E51)),E51-D51,"")</f>
        <v/>
      </c>
      <c r="G51" s="7" t="n"/>
      <c r="H51" s="7" t="n"/>
      <c r="I51" s="7" t="n"/>
      <c r="J51" s="7" t="n"/>
      <c r="K51" s="7">
        <f>IF(COUNT(H51:J51)&gt;0,SUM(H51:J51),"")</f>
        <v/>
      </c>
      <c r="L51" s="8">
        <f>IF(AND(ISNUMBER(K51),ISNUMBER(E51),E51&gt;0),K51/E51,"")</f>
        <v/>
      </c>
      <c r="M51" s="7" t="n"/>
      <c r="N51" s="10" t="n"/>
      <c r="O51" s="1" t="n"/>
    </row>
    <row r="52" ht="15" customHeight="1" s="22">
      <c r="A52" s="1" t="n"/>
      <c r="B52" s="12" t="n"/>
      <c r="C52" s="10" t="n"/>
      <c r="D52" s="7" t="n"/>
      <c r="E52" s="7" t="n"/>
      <c r="F52" s="11">
        <f>IF(AND(ISNUMBER(D52),ISNUMBER(E52)),E52-D52,"")</f>
        <v/>
      </c>
      <c r="G52" s="7" t="n"/>
      <c r="H52" s="7" t="n"/>
      <c r="I52" s="7" t="n"/>
      <c r="J52" s="7" t="n"/>
      <c r="K52" s="7">
        <f>IF(COUNT(H52:J52)&gt;0,SUM(H52:J52),"")</f>
        <v/>
      </c>
      <c r="L52" s="8">
        <f>IF(AND(ISNUMBER(K52),ISNUMBER(E52),E52&gt;0),K52/E52,"")</f>
        <v/>
      </c>
      <c r="M52" s="7" t="n"/>
      <c r="N52" s="10" t="n"/>
      <c r="O52" s="1" t="n"/>
    </row>
    <row r="53" ht="15" customHeight="1" s="22">
      <c r="A53" s="1" t="n"/>
      <c r="B53" s="12" t="n"/>
      <c r="C53" s="10" t="n"/>
      <c r="D53" s="7" t="n"/>
      <c r="E53" s="7" t="n"/>
      <c r="F53" s="11">
        <f>IF(AND(ISNUMBER(D53),ISNUMBER(E53)),E53-D53,"")</f>
        <v/>
      </c>
      <c r="G53" s="7" t="n"/>
      <c r="H53" s="7" t="n"/>
      <c r="I53" s="7" t="n"/>
      <c r="J53" s="7" t="n"/>
      <c r="K53" s="7">
        <f>IF(COUNT(H53:J53)&gt;0,SUM(H53:J53),"")</f>
        <v/>
      </c>
      <c r="L53" s="8">
        <f>IF(AND(ISNUMBER(K53),ISNUMBER(E53),E53&gt;0),K53/E53,"")</f>
        <v/>
      </c>
      <c r="M53" s="7" t="n"/>
      <c r="N53" s="10" t="n"/>
      <c r="O53" s="1" t="n"/>
    </row>
    <row r="54" ht="15" customHeight="1" s="22">
      <c r="A54" s="1" t="n"/>
      <c r="B54" s="12" t="n"/>
      <c r="C54" s="10" t="n"/>
      <c r="D54" s="7" t="n"/>
      <c r="E54" s="7" t="n"/>
      <c r="F54" s="11">
        <f>IF(AND(ISNUMBER(D54),ISNUMBER(E54)),E54-D54,"")</f>
        <v/>
      </c>
      <c r="G54" s="7" t="n"/>
      <c r="H54" s="7" t="n"/>
      <c r="I54" s="7" t="n"/>
      <c r="J54" s="7" t="n"/>
      <c r="K54" s="7">
        <f>IF(COUNT(H54:J54)&gt;0,SUM(H54:J54),"")</f>
        <v/>
      </c>
      <c r="L54" s="8">
        <f>IF(AND(ISNUMBER(K54),ISNUMBER(E54),E54&gt;0),K54/E54,"")</f>
        <v/>
      </c>
      <c r="M54" s="7" t="n"/>
      <c r="N54" s="10" t="n"/>
      <c r="O54" s="1" t="n"/>
    </row>
    <row r="55" ht="15" customHeight="1" s="22">
      <c r="A55" s="1" t="n"/>
      <c r="B55" s="12" t="n"/>
      <c r="C55" s="10" t="n"/>
      <c r="D55" s="7" t="n"/>
      <c r="E55" s="7" t="n"/>
      <c r="F55" s="11">
        <f>IF(AND(ISNUMBER(D55),ISNUMBER(E55)),E55-D55,"")</f>
        <v/>
      </c>
      <c r="G55" s="7" t="n"/>
      <c r="H55" s="7" t="n"/>
      <c r="I55" s="7" t="n"/>
      <c r="J55" s="7" t="n"/>
      <c r="K55" s="7">
        <f>IF(COUNT(H55:J55)&gt;0,SUM(H55:J55),"")</f>
        <v/>
      </c>
      <c r="L55" s="8">
        <f>IF(AND(ISNUMBER(K55),ISNUMBER(E55),E55&gt;0),K55/E55,"")</f>
        <v/>
      </c>
      <c r="M55" s="7" t="n"/>
      <c r="N55" s="10" t="n"/>
      <c r="O55" s="1" t="n"/>
    </row>
    <row r="56" ht="15" customHeight="1" s="22">
      <c r="A56" s="1" t="n"/>
      <c r="B56" s="12" t="n"/>
      <c r="C56" s="10" t="n"/>
      <c r="D56" s="7" t="n"/>
      <c r="E56" s="7" t="n"/>
      <c r="F56" s="11">
        <f>IF(AND(ISNUMBER(D56),ISNUMBER(E56)),E56-D56,"")</f>
        <v/>
      </c>
      <c r="G56" s="7" t="n"/>
      <c r="H56" s="7" t="n"/>
      <c r="I56" s="7" t="n"/>
      <c r="J56" s="7" t="n"/>
      <c r="K56" s="7">
        <f>IF(COUNT(H56:J56)&gt;0,SUM(H56:J56),"")</f>
        <v/>
      </c>
      <c r="L56" s="8">
        <f>IF(AND(ISNUMBER(K56),ISNUMBER(E56),E56&gt;0),K56/E56,"")</f>
        <v/>
      </c>
      <c r="M56" s="7" t="n"/>
      <c r="N56" s="10" t="n"/>
      <c r="O56" s="1" t="n"/>
    </row>
    <row r="57" ht="15" customHeight="1" s="22">
      <c r="A57" s="1" t="n"/>
      <c r="B57" s="12" t="n"/>
      <c r="C57" s="10" t="n"/>
      <c r="D57" s="7" t="n"/>
      <c r="E57" s="7" t="n"/>
      <c r="F57" s="11">
        <f>IF(AND(ISNUMBER(D57),ISNUMBER(E57)),E57-D57,"")</f>
        <v/>
      </c>
      <c r="G57" s="7" t="n"/>
      <c r="H57" s="7" t="n"/>
      <c r="I57" s="7" t="n"/>
      <c r="J57" s="7" t="n"/>
      <c r="K57" s="7">
        <f>IF(COUNT(H57:J57)&gt;0,SUM(H57:J57),"")</f>
        <v/>
      </c>
      <c r="L57" s="8">
        <f>IF(AND(ISNUMBER(K57),ISNUMBER(E57),E57&gt;0),K57/E57,"")</f>
        <v/>
      </c>
      <c r="M57" s="7" t="n"/>
      <c r="N57" s="10" t="n"/>
      <c r="O57" s="1" t="n"/>
    </row>
    <row r="58" ht="15" customHeight="1" s="22">
      <c r="A58" s="1" t="n"/>
      <c r="B58" s="12" t="n"/>
      <c r="C58" s="10" t="n"/>
      <c r="D58" s="7" t="n"/>
      <c r="E58" s="7" t="n"/>
      <c r="F58" s="11">
        <f>IF(AND(ISNUMBER(D58),ISNUMBER(E58)),E58-D58,"")</f>
        <v/>
      </c>
      <c r="G58" s="7" t="n"/>
      <c r="H58" s="7" t="n"/>
      <c r="I58" s="7" t="n"/>
      <c r="J58" s="7" t="n"/>
      <c r="K58" s="7">
        <f>IF(COUNT(H58:J58)&gt;0,SUM(H58:J58),"")</f>
        <v/>
      </c>
      <c r="L58" s="8">
        <f>IF(AND(ISNUMBER(K58),ISNUMBER(E58),E58&gt;0),K58/E58,"")</f>
        <v/>
      </c>
      <c r="M58" s="7" t="n"/>
      <c r="N58" s="10" t="n"/>
      <c r="O58" s="1" t="n"/>
    </row>
    <row r="59" ht="15" customHeight="1" s="22">
      <c r="A59" s="1" t="n"/>
      <c r="B59" s="12" t="n"/>
      <c r="C59" s="10" t="n"/>
      <c r="D59" s="7" t="n"/>
      <c r="E59" s="7" t="n"/>
      <c r="F59" s="11">
        <f>IF(AND(ISNUMBER(D59),ISNUMBER(E59)),E59-D59,"")</f>
        <v/>
      </c>
      <c r="G59" s="7" t="n"/>
      <c r="H59" s="7" t="n"/>
      <c r="I59" s="7" t="n"/>
      <c r="J59" s="7" t="n"/>
      <c r="K59" s="7">
        <f>IF(COUNT(H59:J59)&gt;0,SUM(H59:J59),"")</f>
        <v/>
      </c>
      <c r="L59" s="8">
        <f>IF(AND(ISNUMBER(K59),ISNUMBER(E59),E59&gt;0),K59/E59,"")</f>
        <v/>
      </c>
      <c r="M59" s="7" t="n"/>
      <c r="N59" s="10" t="n"/>
      <c r="O59" s="1" t="n"/>
    </row>
    <row r="60" ht="15" customHeight="1" s="22">
      <c r="A60" s="1" t="n"/>
      <c r="B60" s="12" t="n"/>
      <c r="C60" s="10" t="n"/>
      <c r="D60" s="7" t="n"/>
      <c r="E60" s="7" t="n"/>
      <c r="F60" s="11">
        <f>IF(AND(ISNUMBER(D60),ISNUMBER(E60)),E60-D60,"")</f>
        <v/>
      </c>
      <c r="G60" s="7" t="n"/>
      <c r="H60" s="7" t="n"/>
      <c r="I60" s="7" t="n"/>
      <c r="J60" s="7" t="n"/>
      <c r="K60" s="7">
        <f>IF(COUNT(H60:J60)&gt;0,SUM(H60:J60),"")</f>
        <v/>
      </c>
      <c r="L60" s="8">
        <f>IF(AND(ISNUMBER(K60),ISNUMBER(E60),E60&gt;0),K60/E60,"")</f>
        <v/>
      </c>
      <c r="M60" s="7" t="n"/>
      <c r="N60" s="10" t="n"/>
      <c r="O60" s="1" t="n"/>
    </row>
    <row r="61" ht="15" customHeight="1" s="22">
      <c r="A61" s="1" t="n"/>
      <c r="B61" s="12" t="n"/>
      <c r="C61" s="10" t="n"/>
      <c r="D61" s="7" t="n"/>
      <c r="E61" s="7" t="n"/>
      <c r="F61" s="11">
        <f>IF(AND(ISNUMBER(D61),ISNUMBER(E61)),E61-D61,"")</f>
        <v/>
      </c>
      <c r="G61" s="7" t="n"/>
      <c r="H61" s="7" t="n"/>
      <c r="I61" s="7" t="n"/>
      <c r="J61" s="7" t="n"/>
      <c r="K61" s="7">
        <f>IF(COUNT(H61:J61)&gt;0,SUM(H61:J61),"")</f>
        <v/>
      </c>
      <c r="L61" s="8">
        <f>IF(AND(ISNUMBER(K61),ISNUMBER(E61),E61&gt;0),K61/E61,"")</f>
        <v/>
      </c>
      <c r="M61" s="7" t="n"/>
      <c r="N61" s="10" t="n"/>
      <c r="O61" s="1" t="n"/>
    </row>
    <row r="62" ht="15" customHeight="1" s="22">
      <c r="A62" s="1" t="n"/>
      <c r="B62" s="12" t="n"/>
      <c r="C62" s="10" t="n"/>
      <c r="D62" s="7" t="n"/>
      <c r="E62" s="7" t="n"/>
      <c r="F62" s="11">
        <f>IF(AND(ISNUMBER(D62),ISNUMBER(E62)),E62-D62,"")</f>
        <v/>
      </c>
      <c r="G62" s="7" t="n"/>
      <c r="H62" s="7" t="n"/>
      <c r="I62" s="7" t="n"/>
      <c r="J62" s="7" t="n"/>
      <c r="K62" s="7">
        <f>IF(COUNT(H62:J62)&gt;0,SUM(H62:J62),"")</f>
        <v/>
      </c>
      <c r="L62" s="8">
        <f>IF(AND(ISNUMBER(K62),ISNUMBER(E62),E62&gt;0),K62/E62,"")</f>
        <v/>
      </c>
      <c r="M62" s="7" t="n"/>
      <c r="N62" s="10" t="n"/>
      <c r="O62" s="1" t="n"/>
    </row>
    <row r="63" ht="15" customHeight="1" s="22">
      <c r="A63" s="1" t="n"/>
      <c r="B63" s="12" t="n"/>
      <c r="C63" s="10" t="n"/>
      <c r="D63" s="7" t="n"/>
      <c r="E63" s="7" t="n"/>
      <c r="F63" s="11">
        <f>IF(AND(ISNUMBER(D63),ISNUMBER(E63)),E63-D63,"")</f>
        <v/>
      </c>
      <c r="G63" s="7" t="n"/>
      <c r="H63" s="7" t="n"/>
      <c r="I63" s="7" t="n"/>
      <c r="J63" s="7" t="n"/>
      <c r="K63" s="7">
        <f>IF(COUNT(H63:J63)&gt;0,SUM(H63:J63),"")</f>
        <v/>
      </c>
      <c r="L63" s="8">
        <f>IF(AND(ISNUMBER(K63),ISNUMBER(E63),E63&gt;0),K63/E63,"")</f>
        <v/>
      </c>
      <c r="M63" s="7" t="n"/>
      <c r="N63" s="10" t="n"/>
      <c r="O63" s="1" t="n"/>
    </row>
    <row r="64" ht="15" customHeight="1" s="22">
      <c r="A64" s="1" t="n"/>
      <c r="B64" s="12" t="n"/>
      <c r="C64" s="10" t="n"/>
      <c r="D64" s="7" t="n"/>
      <c r="E64" s="7" t="n"/>
      <c r="F64" s="11">
        <f>IF(AND(ISNUMBER(D64),ISNUMBER(E64)),E64-D64,"")</f>
        <v/>
      </c>
      <c r="G64" s="7" t="n"/>
      <c r="H64" s="7" t="n"/>
      <c r="I64" s="7" t="n"/>
      <c r="J64" s="7" t="n"/>
      <c r="K64" s="7">
        <f>IF(COUNT(H64:J64)&gt;0,SUM(H64:J64),"")</f>
        <v/>
      </c>
      <c r="L64" s="8">
        <f>IF(AND(ISNUMBER(K64),ISNUMBER(E64),E64&gt;0),K64/E64,"")</f>
        <v/>
      </c>
      <c r="M64" s="7" t="n"/>
      <c r="N64" s="10" t="n"/>
      <c r="O64" s="1" t="n"/>
    </row>
    <row r="65" ht="15" customHeight="1" s="22">
      <c r="A65" s="1" t="n"/>
      <c r="B65" s="12" t="n"/>
      <c r="C65" s="10" t="n"/>
      <c r="D65" s="7" t="n"/>
      <c r="E65" s="7" t="n"/>
      <c r="F65" s="11">
        <f>IF(AND(ISNUMBER(D65),ISNUMBER(E65)),E65-D65,"")</f>
        <v/>
      </c>
      <c r="G65" s="7" t="n"/>
      <c r="H65" s="7" t="n"/>
      <c r="I65" s="7" t="n"/>
      <c r="J65" s="7" t="n"/>
      <c r="K65" s="7">
        <f>IF(COUNT(H65:J65)&gt;0,SUM(H65:J65),"")</f>
        <v/>
      </c>
      <c r="L65" s="8">
        <f>IF(AND(ISNUMBER(K65),ISNUMBER(E65),E65&gt;0),K65/E65,"")</f>
        <v/>
      </c>
      <c r="M65" s="7" t="n"/>
      <c r="N65" s="10" t="n"/>
      <c r="O65" s="1" t="n"/>
    </row>
    <row r="66" ht="15" customHeight="1" s="22">
      <c r="A66" s="1" t="n"/>
      <c r="B66" s="12" t="n"/>
      <c r="C66" s="10" t="n"/>
      <c r="D66" s="7" t="n"/>
      <c r="E66" s="7" t="n"/>
      <c r="F66" s="11">
        <f>IF(AND(ISNUMBER(D66),ISNUMBER(E66)),E66-D66,"")</f>
        <v/>
      </c>
      <c r="G66" s="7" t="n"/>
      <c r="H66" s="7" t="n"/>
      <c r="I66" s="7" t="n"/>
      <c r="J66" s="7" t="n"/>
      <c r="K66" s="7">
        <f>IF(COUNT(H66:J66)&gt;0,SUM(H66:J66),"")</f>
        <v/>
      </c>
      <c r="L66" s="8">
        <f>IF(AND(ISNUMBER(K66),ISNUMBER(E66),E66&gt;0),K66/E66,"")</f>
        <v/>
      </c>
      <c r="M66" s="7" t="n"/>
      <c r="N66" s="10" t="n"/>
      <c r="O66" s="1" t="n"/>
    </row>
    <row r="67" ht="15" customHeight="1" s="22">
      <c r="A67" s="1" t="n"/>
      <c r="B67" s="12" t="n"/>
      <c r="C67" s="10" t="n"/>
      <c r="D67" s="7" t="n"/>
      <c r="E67" s="7" t="n"/>
      <c r="F67" s="11">
        <f>IF(AND(ISNUMBER(D67),ISNUMBER(E67)),E67-D67,"")</f>
        <v/>
      </c>
      <c r="G67" s="7" t="n"/>
      <c r="H67" s="7" t="n"/>
      <c r="I67" s="7" t="n"/>
      <c r="J67" s="7" t="n"/>
      <c r="K67" s="7">
        <f>IF(COUNT(H67:J67)&gt;0,SUM(H67:J67),"")</f>
        <v/>
      </c>
      <c r="L67" s="8">
        <f>IF(AND(ISNUMBER(K67),ISNUMBER(E67),E67&gt;0),K67/E67,"")</f>
        <v/>
      </c>
      <c r="M67" s="7" t="n"/>
      <c r="N67" s="10" t="n"/>
      <c r="O67" s="1" t="n"/>
    </row>
    <row r="68" ht="15" customHeight="1" s="22">
      <c r="A68" s="1" t="n"/>
      <c r="B68" s="12" t="n"/>
      <c r="C68" s="10" t="n"/>
      <c r="D68" s="7" t="n"/>
      <c r="E68" s="7" t="n"/>
      <c r="F68" s="11">
        <f>IF(AND(ISNUMBER(D68),ISNUMBER(E68)),E68-D68,"")</f>
        <v/>
      </c>
      <c r="G68" s="7" t="n"/>
      <c r="H68" s="7" t="n"/>
      <c r="I68" s="7" t="n"/>
      <c r="J68" s="7" t="n"/>
      <c r="K68" s="7">
        <f>IF(COUNT(H68:J68)&gt;0,SUM(H68:J68),"")</f>
        <v/>
      </c>
      <c r="L68" s="8">
        <f>IF(AND(ISNUMBER(K68),ISNUMBER(E68),E68&gt;0),K68/E68,"")</f>
        <v/>
      </c>
      <c r="M68" s="7" t="n"/>
      <c r="N68" s="10" t="n"/>
      <c r="O68" s="1" t="n"/>
    </row>
    <row r="69" ht="15" customHeight="1" s="22">
      <c r="A69" s="1" t="n"/>
      <c r="B69" s="12" t="n"/>
      <c r="C69" s="10" t="n"/>
      <c r="D69" s="7" t="n"/>
      <c r="E69" s="7" t="n"/>
      <c r="F69" s="11">
        <f>IF(AND(ISNUMBER(D69),ISNUMBER(E69)),E69-D69,"")</f>
        <v/>
      </c>
      <c r="G69" s="7" t="n"/>
      <c r="H69" s="7" t="n"/>
      <c r="I69" s="7" t="n"/>
      <c r="J69" s="7" t="n"/>
      <c r="K69" s="7">
        <f>IF(COUNT(H69:J69)&gt;0,SUM(H69:J69),"")</f>
        <v/>
      </c>
      <c r="L69" s="8">
        <f>IF(AND(ISNUMBER(K69),ISNUMBER(E69),E69&gt;0),K69/E69,"")</f>
        <v/>
      </c>
      <c r="M69" s="7" t="n"/>
      <c r="N69" s="10" t="n"/>
      <c r="O69" s="1" t="n"/>
    </row>
    <row r="70" ht="15" customHeight="1" s="22">
      <c r="A70" s="1" t="n"/>
      <c r="B70" s="12" t="n"/>
      <c r="C70" s="10" t="n"/>
      <c r="D70" s="7" t="n"/>
      <c r="E70" s="7" t="n"/>
      <c r="F70" s="11">
        <f>IF(AND(ISNUMBER(D70),ISNUMBER(E70)),E70-D70,"")</f>
        <v/>
      </c>
      <c r="G70" s="7" t="n"/>
      <c r="H70" s="7" t="n"/>
      <c r="I70" s="7" t="n"/>
      <c r="J70" s="7" t="n"/>
      <c r="K70" s="7">
        <f>IF(COUNT(H70:J70)&gt;0,SUM(H70:J70),"")</f>
        <v/>
      </c>
      <c r="L70" s="8">
        <f>IF(AND(ISNUMBER(K70),ISNUMBER(E70),E70&gt;0),K70/E70,"")</f>
        <v/>
      </c>
      <c r="M70" s="7" t="n"/>
      <c r="N70" s="10" t="n"/>
      <c r="O70" s="1" t="n"/>
    </row>
    <row r="71" ht="15" customHeight="1" s="22">
      <c r="A71" s="1" t="n"/>
      <c r="B71" s="12" t="n"/>
      <c r="C71" s="10" t="n"/>
      <c r="D71" s="7" t="n"/>
      <c r="E71" s="7" t="n"/>
      <c r="F71" s="11">
        <f>IF(AND(ISNUMBER(D71),ISNUMBER(E71)),E71-D71,"")</f>
        <v/>
      </c>
      <c r="G71" s="7" t="n"/>
      <c r="H71" s="7" t="n"/>
      <c r="I71" s="7" t="n"/>
      <c r="J71" s="7" t="n"/>
      <c r="K71" s="7">
        <f>IF(COUNT(H71:J71)&gt;0,SUM(H71:J71),"")</f>
        <v/>
      </c>
      <c r="L71" s="8">
        <f>IF(AND(ISNUMBER(K71),ISNUMBER(E71),E71&gt;0),K71/E71,"")</f>
        <v/>
      </c>
      <c r="M71" s="7" t="n"/>
      <c r="N71" s="10" t="n"/>
      <c r="O71" s="1" t="n"/>
    </row>
    <row r="72" ht="15" customHeight="1" s="22">
      <c r="A72" s="1" t="n"/>
      <c r="B72" s="12" t="n"/>
      <c r="C72" s="10" t="n"/>
      <c r="D72" s="7" t="n"/>
      <c r="E72" s="7" t="n"/>
      <c r="F72" s="11">
        <f>IF(AND(ISNUMBER(D72),ISNUMBER(E72)),E72-D72,"")</f>
        <v/>
      </c>
      <c r="G72" s="7" t="n"/>
      <c r="H72" s="7" t="n"/>
      <c r="I72" s="7" t="n"/>
      <c r="J72" s="7" t="n"/>
      <c r="K72" s="7">
        <f>IF(COUNT(H72:J72)&gt;0,SUM(H72:J72),"")</f>
        <v/>
      </c>
      <c r="L72" s="8">
        <f>IF(AND(ISNUMBER(K72),ISNUMBER(E72),E72&gt;0),K72/E72,"")</f>
        <v/>
      </c>
      <c r="M72" s="7" t="n"/>
      <c r="N72" s="10" t="n"/>
      <c r="O72" s="1" t="n"/>
    </row>
    <row r="73" ht="15" customHeight="1" s="22">
      <c r="A73" s="1" t="n"/>
      <c r="B73" s="12" t="n"/>
      <c r="C73" s="10" t="n"/>
      <c r="D73" s="7" t="n"/>
      <c r="E73" s="7" t="n"/>
      <c r="F73" s="11">
        <f>IF(AND(ISNUMBER(D73),ISNUMBER(E73)),E73-D73,"")</f>
        <v/>
      </c>
      <c r="G73" s="7" t="n"/>
      <c r="H73" s="7" t="n"/>
      <c r="I73" s="7" t="n"/>
      <c r="J73" s="7" t="n"/>
      <c r="K73" s="7">
        <f>IF(COUNT(H73:J73)&gt;0,SUM(H73:J73),"")</f>
        <v/>
      </c>
      <c r="L73" s="8">
        <f>IF(AND(ISNUMBER(K73),ISNUMBER(E73),E73&gt;0),K73/E73,"")</f>
        <v/>
      </c>
      <c r="M73" s="7" t="n"/>
      <c r="N73" s="10" t="n"/>
      <c r="O73" s="1" t="n"/>
    </row>
    <row r="74" ht="15" customHeight="1" s="22">
      <c r="A74" s="1" t="n"/>
      <c r="B74" s="12" t="n"/>
      <c r="C74" s="10" t="n"/>
      <c r="D74" s="7" t="n"/>
      <c r="E74" s="7" t="n"/>
      <c r="F74" s="11">
        <f>IF(AND(ISNUMBER(D74),ISNUMBER(E74)),E74-D74,"")</f>
        <v/>
      </c>
      <c r="G74" s="7" t="n"/>
      <c r="H74" s="7" t="n"/>
      <c r="I74" s="7" t="n"/>
      <c r="J74" s="7" t="n"/>
      <c r="K74" s="7">
        <f>IF(COUNT(H74:J74)&gt;0,SUM(H74:J74),"")</f>
        <v/>
      </c>
      <c r="L74" s="8">
        <f>IF(AND(ISNUMBER(K74),ISNUMBER(E74),E74&gt;0),K74/E74,"")</f>
        <v/>
      </c>
      <c r="M74" s="7" t="n"/>
      <c r="N74" s="10" t="n"/>
      <c r="O74" s="1" t="n"/>
    </row>
    <row r="75" ht="15" customHeight="1" s="22">
      <c r="A75" s="1" t="n"/>
      <c r="B75" s="12" t="n"/>
      <c r="C75" s="10" t="n"/>
      <c r="D75" s="7" t="n"/>
      <c r="E75" s="7" t="n"/>
      <c r="F75" s="11">
        <f>IF(AND(ISNUMBER(D75),ISNUMBER(E75)),E75-D75,"")</f>
        <v/>
      </c>
      <c r="G75" s="7" t="n"/>
      <c r="H75" s="7" t="n"/>
      <c r="I75" s="7" t="n"/>
      <c r="J75" s="7" t="n"/>
      <c r="K75" s="7">
        <f>IF(COUNT(H75:J75)&gt;0,SUM(H75:J75),"")</f>
        <v/>
      </c>
      <c r="L75" s="8">
        <f>IF(AND(ISNUMBER(K75),ISNUMBER(E75),E75&gt;0),K75/E75,"")</f>
        <v/>
      </c>
      <c r="M75" s="7" t="n"/>
      <c r="N75" s="10" t="n"/>
      <c r="O75" s="1" t="n"/>
    </row>
    <row r="76" ht="15" customHeight="1" s="22">
      <c r="A76" s="1" t="n"/>
      <c r="B76" s="12" t="n"/>
      <c r="C76" s="10" t="n"/>
      <c r="D76" s="7" t="n"/>
      <c r="E76" s="7" t="n"/>
      <c r="F76" s="11">
        <f>IF(AND(ISNUMBER(D76),ISNUMBER(E76)),E76-D76,"")</f>
        <v/>
      </c>
      <c r="G76" s="7" t="n"/>
      <c r="H76" s="7" t="n"/>
      <c r="I76" s="7" t="n"/>
      <c r="J76" s="7" t="n"/>
      <c r="K76" s="7">
        <f>IF(COUNT(H76:J76)&gt;0,SUM(H76:J76),"")</f>
        <v/>
      </c>
      <c r="L76" s="8">
        <f>IF(AND(ISNUMBER(K76),ISNUMBER(E76),E76&gt;0),K76/E76,"")</f>
        <v/>
      </c>
      <c r="M76" s="7" t="n"/>
      <c r="N76" s="10" t="n"/>
      <c r="O76" s="1" t="n"/>
    </row>
    <row r="77" ht="15" customHeight="1" s="22">
      <c r="A77" s="1" t="n"/>
      <c r="B77" s="12" t="n"/>
      <c r="C77" s="10" t="n"/>
      <c r="D77" s="7" t="n"/>
      <c r="E77" s="7" t="n"/>
      <c r="F77" s="11">
        <f>IF(AND(ISNUMBER(D77),ISNUMBER(E77)),E77-D77,"")</f>
        <v/>
      </c>
      <c r="G77" s="7" t="n"/>
      <c r="H77" s="7" t="n"/>
      <c r="I77" s="7" t="n"/>
      <c r="J77" s="7" t="n"/>
      <c r="K77" s="7">
        <f>IF(COUNT(H77:J77)&gt;0,SUM(H77:J77),"")</f>
        <v/>
      </c>
      <c r="L77" s="8">
        <f>IF(AND(ISNUMBER(K77),ISNUMBER(E77),E77&gt;0),K77/E77,"")</f>
        <v/>
      </c>
      <c r="M77" s="7" t="n"/>
      <c r="N77" s="10" t="n"/>
      <c r="O77" s="1" t="n"/>
    </row>
    <row r="78" ht="15" customHeight="1" s="22">
      <c r="A78" s="1" t="n"/>
      <c r="B78" s="12" t="n"/>
      <c r="C78" s="10" t="n"/>
      <c r="D78" s="7" t="n"/>
      <c r="E78" s="7" t="n"/>
      <c r="F78" s="11">
        <f>IF(AND(ISNUMBER(D78),ISNUMBER(E78)),E78-D78,"")</f>
        <v/>
      </c>
      <c r="G78" s="7" t="n"/>
      <c r="H78" s="7" t="n"/>
      <c r="I78" s="7" t="n"/>
      <c r="J78" s="7" t="n"/>
      <c r="K78" s="7">
        <f>IF(COUNT(H78:J78)&gt;0,SUM(H78:J78),"")</f>
        <v/>
      </c>
      <c r="L78" s="8">
        <f>IF(AND(ISNUMBER(K78),ISNUMBER(E78),E78&gt;0),K78/E78,"")</f>
        <v/>
      </c>
      <c r="M78" s="7" t="n"/>
      <c r="N78" s="10" t="n"/>
      <c r="O78" s="1" t="n"/>
    </row>
    <row r="79" ht="15" customHeight="1" s="22">
      <c r="A79" s="1" t="n"/>
      <c r="B79" s="12" t="n"/>
      <c r="C79" s="10" t="n"/>
      <c r="D79" s="7" t="n"/>
      <c r="E79" s="7" t="n"/>
      <c r="F79" s="11">
        <f>IF(AND(ISNUMBER(D79),ISNUMBER(E79)),E79-D79,"")</f>
        <v/>
      </c>
      <c r="G79" s="7" t="n"/>
      <c r="H79" s="7" t="n"/>
      <c r="I79" s="7" t="n"/>
      <c r="J79" s="7" t="n"/>
      <c r="K79" s="7">
        <f>IF(COUNT(H79:J79)&gt;0,SUM(H79:J79),"")</f>
        <v/>
      </c>
      <c r="L79" s="8">
        <f>IF(AND(ISNUMBER(K79),ISNUMBER(E79),E79&gt;0),K79/E79,"")</f>
        <v/>
      </c>
      <c r="M79" s="7" t="n"/>
      <c r="N79" s="10" t="n"/>
      <c r="O79" s="1" t="n"/>
    </row>
    <row r="80" ht="15" customHeight="1" s="22">
      <c r="A80" s="1" t="n"/>
      <c r="B80" s="12" t="n"/>
      <c r="C80" s="10" t="n"/>
      <c r="D80" s="7" t="n"/>
      <c r="E80" s="7" t="n"/>
      <c r="F80" s="11">
        <f>IF(AND(ISNUMBER(D80),ISNUMBER(E80)),E80-D80,"")</f>
        <v/>
      </c>
      <c r="G80" s="7" t="n"/>
      <c r="H80" s="7" t="n"/>
      <c r="I80" s="7" t="n"/>
      <c r="J80" s="7" t="n"/>
      <c r="K80" s="7">
        <f>IF(COUNT(H80:J80)&gt;0,SUM(H80:J80),"")</f>
        <v/>
      </c>
      <c r="L80" s="8">
        <f>IF(AND(ISNUMBER(K80),ISNUMBER(E80),E80&gt;0),K80/E80,"")</f>
        <v/>
      </c>
      <c r="M80" s="7" t="n"/>
      <c r="N80" s="10" t="n"/>
      <c r="O80" s="1" t="n"/>
    </row>
    <row r="81" ht="15" customHeight="1" s="22">
      <c r="A81" s="1" t="n"/>
      <c r="B81" s="12" t="n"/>
      <c r="C81" s="10" t="n"/>
      <c r="D81" s="7" t="n"/>
      <c r="E81" s="7" t="n"/>
      <c r="F81" s="11">
        <f>IF(AND(ISNUMBER(D81),ISNUMBER(E81)),E81-D81,"")</f>
        <v/>
      </c>
      <c r="G81" s="7" t="n"/>
      <c r="H81" s="7" t="n"/>
      <c r="I81" s="7" t="n"/>
      <c r="J81" s="7" t="n"/>
      <c r="K81" s="7">
        <f>IF(COUNT(H81:J81)&gt;0,SUM(H81:J81),"")</f>
        <v/>
      </c>
      <c r="L81" s="8">
        <f>IF(AND(ISNUMBER(K81),ISNUMBER(E81),E81&gt;0),K81/E81,"")</f>
        <v/>
      </c>
      <c r="M81" s="7" t="n"/>
      <c r="N81" s="10" t="n"/>
      <c r="O81" s="1" t="n"/>
    </row>
    <row r="82" ht="15" customHeight="1" s="22">
      <c r="A82" s="1" t="n"/>
      <c r="B82" s="12" t="n"/>
      <c r="C82" s="10" t="n"/>
      <c r="D82" s="7" t="n"/>
      <c r="E82" s="7" t="n"/>
      <c r="F82" s="11">
        <f>IF(AND(ISNUMBER(D82),ISNUMBER(E82)),E82-D82,"")</f>
        <v/>
      </c>
      <c r="G82" s="7" t="n"/>
      <c r="H82" s="7" t="n"/>
      <c r="I82" s="7" t="n"/>
      <c r="J82" s="7" t="n"/>
      <c r="K82" s="7">
        <f>IF(COUNT(H82:J82)&gt;0,SUM(H82:J82),"")</f>
        <v/>
      </c>
      <c r="L82" s="8">
        <f>IF(AND(ISNUMBER(K82),ISNUMBER(E82),E82&gt;0),K82/E82,"")</f>
        <v/>
      </c>
      <c r="M82" s="7" t="n"/>
      <c r="N82" s="10" t="n"/>
      <c r="O82" s="1" t="n"/>
    </row>
    <row r="83" ht="15" customHeight="1" s="22">
      <c r="A83" s="1" t="n"/>
      <c r="B83" s="12" t="n"/>
      <c r="C83" s="10" t="n"/>
      <c r="D83" s="7" t="n"/>
      <c r="E83" s="7" t="n"/>
      <c r="F83" s="11">
        <f>IF(AND(ISNUMBER(D83),ISNUMBER(E83)),E83-D83,"")</f>
        <v/>
      </c>
      <c r="G83" s="7" t="n"/>
      <c r="H83" s="7" t="n"/>
      <c r="I83" s="7" t="n"/>
      <c r="J83" s="7" t="n"/>
      <c r="K83" s="7">
        <f>IF(COUNT(H83:J83)&gt;0,SUM(H83:J83),"")</f>
        <v/>
      </c>
      <c r="L83" s="8">
        <f>IF(AND(ISNUMBER(K83),ISNUMBER(E83),E83&gt;0),K83/E83,"")</f>
        <v/>
      </c>
      <c r="M83" s="7" t="n"/>
      <c r="N83" s="10" t="n"/>
      <c r="O83" s="1" t="n"/>
    </row>
    <row r="84" ht="15" customHeight="1" s="22">
      <c r="A84" s="1" t="n"/>
      <c r="B84" s="12" t="n"/>
      <c r="C84" s="10" t="n"/>
      <c r="D84" s="7" t="n"/>
      <c r="E84" s="7" t="n"/>
      <c r="F84" s="11">
        <f>IF(AND(ISNUMBER(D84),ISNUMBER(E84)),E84-D84,"")</f>
        <v/>
      </c>
      <c r="G84" s="7" t="n"/>
      <c r="H84" s="7" t="n"/>
      <c r="I84" s="7" t="n"/>
      <c r="J84" s="7" t="n"/>
      <c r="K84" s="7">
        <f>IF(COUNT(H84:J84)&gt;0,SUM(H84:J84),"")</f>
        <v/>
      </c>
      <c r="L84" s="8">
        <f>IF(AND(ISNUMBER(K84),ISNUMBER(E84),E84&gt;0),K84/E84,"")</f>
        <v/>
      </c>
      <c r="M84" s="7" t="n"/>
      <c r="N84" s="10" t="n"/>
      <c r="O84" s="1" t="n"/>
    </row>
    <row r="85" ht="15" customHeight="1" s="22">
      <c r="A85" s="1" t="n"/>
      <c r="B85" s="12" t="n"/>
      <c r="C85" s="10" t="n"/>
      <c r="D85" s="7" t="n"/>
      <c r="E85" s="7" t="n"/>
      <c r="F85" s="11">
        <f>IF(AND(ISNUMBER(D85),ISNUMBER(E85)),E85-D85,"")</f>
        <v/>
      </c>
      <c r="G85" s="7" t="n"/>
      <c r="H85" s="7" t="n"/>
      <c r="I85" s="7" t="n"/>
      <c r="J85" s="7" t="n"/>
      <c r="K85" s="7">
        <f>IF(COUNT(H85:J85)&gt;0,SUM(H85:J85),"")</f>
        <v/>
      </c>
      <c r="L85" s="8">
        <f>IF(AND(ISNUMBER(K85),ISNUMBER(E85),E85&gt;0),K85/E85,"")</f>
        <v/>
      </c>
      <c r="M85" s="7" t="n"/>
      <c r="N85" s="10" t="n"/>
      <c r="O85" s="1" t="n"/>
    </row>
    <row r="86" ht="15" customHeight="1" s="22">
      <c r="A86" s="1" t="n"/>
      <c r="B86" s="12" t="n"/>
      <c r="C86" s="10" t="n"/>
      <c r="D86" s="7" t="n"/>
      <c r="E86" s="7" t="n"/>
      <c r="F86" s="11">
        <f>IF(AND(ISNUMBER(D86),ISNUMBER(E86)),E86-D86,"")</f>
        <v/>
      </c>
      <c r="G86" s="7" t="n"/>
      <c r="H86" s="7" t="n"/>
      <c r="I86" s="7" t="n"/>
      <c r="J86" s="7" t="n"/>
      <c r="K86" s="7">
        <f>IF(COUNT(H86:J86)&gt;0,SUM(H86:J86),"")</f>
        <v/>
      </c>
      <c r="L86" s="8">
        <f>IF(AND(ISNUMBER(K86),ISNUMBER(E86),E86&gt;0),K86/E86,"")</f>
        <v/>
      </c>
      <c r="M86" s="7" t="n"/>
      <c r="N86" s="10" t="n"/>
      <c r="O86" s="1" t="n"/>
    </row>
    <row r="87" ht="15" customHeight="1" s="22">
      <c r="A87" s="1" t="n"/>
      <c r="B87" s="12" t="n"/>
      <c r="C87" s="10" t="n"/>
      <c r="D87" s="7" t="n"/>
      <c r="E87" s="7" t="n"/>
      <c r="F87" s="11">
        <f>IF(AND(ISNUMBER(D87),ISNUMBER(E87)),E87-D87,"")</f>
        <v/>
      </c>
      <c r="G87" s="7" t="n"/>
      <c r="H87" s="7" t="n"/>
      <c r="I87" s="7" t="n"/>
      <c r="J87" s="7" t="n"/>
      <c r="K87" s="7">
        <f>IF(COUNT(H87:J87)&gt;0,SUM(H87:J87),"")</f>
        <v/>
      </c>
      <c r="L87" s="8">
        <f>IF(AND(ISNUMBER(K87),ISNUMBER(E87),E87&gt;0),K87/E87,"")</f>
        <v/>
      </c>
      <c r="M87" s="7" t="n"/>
      <c r="N87" s="10" t="n"/>
      <c r="O87" s="1" t="n"/>
    </row>
    <row r="88" ht="15" customHeight="1" s="22">
      <c r="A88" s="1" t="n"/>
      <c r="B88" s="12" t="n"/>
      <c r="C88" s="10" t="n"/>
      <c r="D88" s="7" t="n"/>
      <c r="E88" s="7" t="n"/>
      <c r="F88" s="11">
        <f>IF(AND(ISNUMBER(D88),ISNUMBER(E88)),E88-D88,"")</f>
        <v/>
      </c>
      <c r="G88" s="7" t="n"/>
      <c r="H88" s="7" t="n"/>
      <c r="I88" s="7" t="n"/>
      <c r="J88" s="7" t="n"/>
      <c r="K88" s="7">
        <f>IF(COUNT(H88:J88)&gt;0,SUM(H88:J88),"")</f>
        <v/>
      </c>
      <c r="L88" s="8">
        <f>IF(AND(ISNUMBER(K88),ISNUMBER(E88),E88&gt;0),K88/E88,"")</f>
        <v/>
      </c>
      <c r="M88" s="7" t="n"/>
      <c r="N88" s="10" t="n"/>
      <c r="O88" s="1" t="n"/>
    </row>
    <row r="89" ht="15" customHeight="1" s="22">
      <c r="A89" s="1" t="n"/>
      <c r="B89" s="12" t="n"/>
      <c r="C89" s="10" t="n"/>
      <c r="D89" s="7" t="n"/>
      <c r="E89" s="7" t="n"/>
      <c r="F89" s="11">
        <f>IF(AND(ISNUMBER(D89),ISNUMBER(E89)),E89-D89,"")</f>
        <v/>
      </c>
      <c r="G89" s="7" t="n"/>
      <c r="H89" s="7" t="n"/>
      <c r="I89" s="7" t="n"/>
      <c r="J89" s="7" t="n"/>
      <c r="K89" s="7">
        <f>IF(COUNT(H89:J89)&gt;0,SUM(H89:J89),"")</f>
        <v/>
      </c>
      <c r="L89" s="8">
        <f>IF(AND(ISNUMBER(K89),ISNUMBER(E89),E89&gt;0),K89/E89,"")</f>
        <v/>
      </c>
      <c r="M89" s="7" t="n"/>
      <c r="N89" s="10" t="n"/>
      <c r="O89" s="1" t="n"/>
    </row>
    <row r="90" ht="15" customHeight="1" s="22">
      <c r="A90" s="1" t="n"/>
      <c r="B90" s="12" t="n"/>
      <c r="C90" s="10" t="n"/>
      <c r="D90" s="7" t="n"/>
      <c r="E90" s="7" t="n"/>
      <c r="F90" s="11">
        <f>IF(AND(ISNUMBER(D90),ISNUMBER(E90)),E90-D90,"")</f>
        <v/>
      </c>
      <c r="G90" s="7" t="n"/>
      <c r="H90" s="7" t="n"/>
      <c r="I90" s="7" t="n"/>
      <c r="J90" s="7" t="n"/>
      <c r="K90" s="7">
        <f>IF(COUNT(H90:J90)&gt;0,SUM(H90:J90),"")</f>
        <v/>
      </c>
      <c r="L90" s="8">
        <f>IF(AND(ISNUMBER(K90),ISNUMBER(E90),E90&gt;0),K90/E90,"")</f>
        <v/>
      </c>
      <c r="M90" s="7" t="n"/>
      <c r="N90" s="10" t="n"/>
      <c r="O90" s="1" t="n"/>
    </row>
    <row r="91" ht="15" customHeight="1" s="22">
      <c r="A91" s="1" t="n"/>
      <c r="B91" s="12" t="n"/>
      <c r="C91" s="10" t="n"/>
      <c r="D91" s="7" t="n"/>
      <c r="E91" s="7" t="n"/>
      <c r="F91" s="11">
        <f>IF(AND(ISNUMBER(D91),ISNUMBER(E91)),E91-D91,"")</f>
        <v/>
      </c>
      <c r="G91" s="7" t="n"/>
      <c r="H91" s="7" t="n"/>
      <c r="I91" s="7" t="n"/>
      <c r="J91" s="7" t="n"/>
      <c r="K91" s="7">
        <f>IF(COUNT(H91:J91)&gt;0,SUM(H91:J91),"")</f>
        <v/>
      </c>
      <c r="L91" s="8">
        <f>IF(AND(ISNUMBER(K91),ISNUMBER(E91),E91&gt;0),K91/E91,"")</f>
        <v/>
      </c>
      <c r="M91" s="7" t="n"/>
      <c r="N91" s="10" t="n"/>
      <c r="O91" s="1" t="n"/>
    </row>
    <row r="92" ht="15" customHeight="1" s="22">
      <c r="A92" s="1" t="n"/>
      <c r="B92" s="12" t="n"/>
      <c r="C92" s="10" t="n"/>
      <c r="D92" s="7" t="n"/>
      <c r="E92" s="7" t="n"/>
      <c r="F92" s="11">
        <f>IF(AND(ISNUMBER(D92),ISNUMBER(E92)),E92-D92,"")</f>
        <v/>
      </c>
      <c r="G92" s="7" t="n"/>
      <c r="H92" s="7" t="n"/>
      <c r="I92" s="7" t="n"/>
      <c r="J92" s="7" t="n"/>
      <c r="K92" s="7">
        <f>IF(COUNT(H92:J92)&gt;0,SUM(H92:J92),"")</f>
        <v/>
      </c>
      <c r="L92" s="8">
        <f>IF(AND(ISNUMBER(K92),ISNUMBER(E92),E92&gt;0),K92/E92,"")</f>
        <v/>
      </c>
      <c r="M92" s="7" t="n"/>
      <c r="N92" s="10" t="n"/>
      <c r="O92" s="1" t="n"/>
    </row>
    <row r="93" ht="15" customHeight="1" s="22">
      <c r="A93" s="1" t="n"/>
      <c r="B93" s="12" t="n"/>
      <c r="C93" s="10" t="n"/>
      <c r="D93" s="7" t="n"/>
      <c r="E93" s="7" t="n"/>
      <c r="F93" s="11">
        <f>IF(AND(ISNUMBER(D93),ISNUMBER(E93)),E93-D93,"")</f>
        <v/>
      </c>
      <c r="G93" s="7" t="n"/>
      <c r="H93" s="7" t="n"/>
      <c r="I93" s="7" t="n"/>
      <c r="J93" s="7" t="n"/>
      <c r="K93" s="7">
        <f>IF(COUNT(H93:J93)&gt;0,SUM(H93:J93),"")</f>
        <v/>
      </c>
      <c r="L93" s="8">
        <f>IF(AND(ISNUMBER(K93),ISNUMBER(E93),E93&gt;0),K93/E93,"")</f>
        <v/>
      </c>
      <c r="M93" s="7" t="n"/>
      <c r="N93" s="10" t="n"/>
      <c r="O93" s="1" t="n"/>
    </row>
    <row r="94" ht="15" customHeight="1" s="22">
      <c r="A94" s="1" t="n"/>
      <c r="B94" s="12" t="n"/>
      <c r="C94" s="10" t="n"/>
      <c r="D94" s="7" t="n"/>
      <c r="E94" s="7" t="n"/>
      <c r="F94" s="11">
        <f>IF(AND(ISNUMBER(D94),ISNUMBER(E94)),E94-D94,"")</f>
        <v/>
      </c>
      <c r="G94" s="7" t="n"/>
      <c r="H94" s="7" t="n"/>
      <c r="I94" s="7" t="n"/>
      <c r="J94" s="7" t="n"/>
      <c r="K94" s="7">
        <f>IF(COUNT(H94:J94)&gt;0,SUM(H94:J94),"")</f>
        <v/>
      </c>
      <c r="L94" s="8">
        <f>IF(AND(ISNUMBER(K94),ISNUMBER(E94),E94&gt;0),K94/E94,"")</f>
        <v/>
      </c>
      <c r="M94" s="7" t="n"/>
      <c r="N94" s="10" t="n"/>
      <c r="O94" s="1" t="n"/>
    </row>
    <row r="95" ht="15" customHeight="1" s="22">
      <c r="A95" s="1" t="n"/>
      <c r="B95" s="12" t="n"/>
      <c r="C95" s="10" t="n"/>
      <c r="D95" s="7" t="n"/>
      <c r="E95" s="7" t="n"/>
      <c r="F95" s="11">
        <f>IF(AND(ISNUMBER(D95),ISNUMBER(E95)),E95-D95,"")</f>
        <v/>
      </c>
      <c r="G95" s="7" t="n"/>
      <c r="H95" s="7" t="n"/>
      <c r="I95" s="7" t="n"/>
      <c r="J95" s="7" t="n"/>
      <c r="K95" s="7">
        <f>IF(COUNT(H95:J95)&gt;0,SUM(H95:J95),"")</f>
        <v/>
      </c>
      <c r="L95" s="8">
        <f>IF(AND(ISNUMBER(K95),ISNUMBER(E95),E95&gt;0),K95/E95,"")</f>
        <v/>
      </c>
      <c r="M95" s="7" t="n"/>
      <c r="N95" s="10" t="n"/>
      <c r="O95" s="1" t="n"/>
    </row>
    <row r="96" ht="15" customHeight="1" s="22">
      <c r="A96" s="1" t="n"/>
      <c r="B96" s="12" t="n"/>
      <c r="C96" s="10" t="n"/>
      <c r="D96" s="7" t="n"/>
      <c r="E96" s="7" t="n"/>
      <c r="F96" s="11">
        <f>IF(AND(ISNUMBER(D96),ISNUMBER(E96)),E96-D96,"")</f>
        <v/>
      </c>
      <c r="G96" s="7" t="n"/>
      <c r="H96" s="7" t="n"/>
      <c r="I96" s="7" t="n"/>
      <c r="J96" s="7" t="n"/>
      <c r="K96" s="7">
        <f>IF(COUNT(H96:J96)&gt;0,SUM(H96:J96),"")</f>
        <v/>
      </c>
      <c r="L96" s="8">
        <f>IF(AND(ISNUMBER(K96),ISNUMBER(E96),E96&gt;0),K96/E96,"")</f>
        <v/>
      </c>
      <c r="M96" s="7" t="n"/>
      <c r="N96" s="10" t="n"/>
      <c r="O96" s="1" t="n"/>
    </row>
    <row r="97" ht="15" customHeight="1" s="22">
      <c r="A97" s="1" t="n"/>
      <c r="B97" s="12" t="n"/>
      <c r="C97" s="10" t="n"/>
      <c r="D97" s="7" t="n"/>
      <c r="E97" s="7" t="n"/>
      <c r="F97" s="11">
        <f>IF(AND(ISNUMBER(D97),ISNUMBER(E97)),E97-D97,"")</f>
        <v/>
      </c>
      <c r="G97" s="7" t="n"/>
      <c r="H97" s="7" t="n"/>
      <c r="I97" s="7" t="n"/>
      <c r="J97" s="7" t="n"/>
      <c r="K97" s="7">
        <f>IF(COUNT(H97:J97)&gt;0,SUM(H97:J97),"")</f>
        <v/>
      </c>
      <c r="L97" s="8">
        <f>IF(AND(ISNUMBER(K97),ISNUMBER(E97),E97&gt;0),K97/E97,"")</f>
        <v/>
      </c>
      <c r="M97" s="7" t="n"/>
      <c r="N97" s="10" t="n"/>
      <c r="O97" s="1" t="n"/>
    </row>
    <row r="98" ht="15" customHeight="1" s="22">
      <c r="A98" s="1" t="n"/>
      <c r="B98" s="12" t="n"/>
      <c r="C98" s="10" t="n"/>
      <c r="D98" s="7" t="n"/>
      <c r="E98" s="7" t="n"/>
      <c r="F98" s="11">
        <f>IF(AND(ISNUMBER(D98),ISNUMBER(E98)),E98-D98,"")</f>
        <v/>
      </c>
      <c r="G98" s="7" t="n"/>
      <c r="H98" s="7" t="n"/>
      <c r="I98" s="7" t="n"/>
      <c r="J98" s="7" t="n"/>
      <c r="K98" s="7">
        <f>IF(COUNT(H98:J98)&gt;0,SUM(H98:J98),"")</f>
        <v/>
      </c>
      <c r="L98" s="8">
        <f>IF(AND(ISNUMBER(K98),ISNUMBER(E98),E98&gt;0),K98/E98,"")</f>
        <v/>
      </c>
      <c r="M98" s="7" t="n"/>
      <c r="N98" s="10" t="n"/>
      <c r="O98" s="1" t="n"/>
    </row>
    <row r="99" ht="15" customHeight="1" s="22">
      <c r="A99" s="1" t="n"/>
      <c r="B99" s="12" t="n"/>
      <c r="C99" s="10" t="n"/>
      <c r="D99" s="7" t="n"/>
      <c r="E99" s="7" t="n"/>
      <c r="F99" s="11">
        <f>IF(AND(ISNUMBER(D99),ISNUMBER(E99)),E99-D99,"")</f>
        <v/>
      </c>
      <c r="G99" s="7" t="n"/>
      <c r="H99" s="7" t="n"/>
      <c r="I99" s="7" t="n"/>
      <c r="J99" s="7" t="n"/>
      <c r="K99" s="7">
        <f>IF(COUNT(H99:J99)&gt;0,SUM(H99:J99),"")</f>
        <v/>
      </c>
      <c r="L99" s="8">
        <f>IF(AND(ISNUMBER(K99),ISNUMBER(E99),E99&gt;0),K99/E99,"")</f>
        <v/>
      </c>
      <c r="M99" s="7" t="n"/>
      <c r="N99" s="10" t="n"/>
      <c r="O99" s="1" t="n"/>
    </row>
    <row r="100" ht="15" customHeight="1" s="22">
      <c r="A100" s="1" t="n"/>
      <c r="B100" s="12" t="n"/>
      <c r="C100" s="10" t="n"/>
      <c r="D100" s="7" t="n"/>
      <c r="E100" s="7" t="n"/>
      <c r="F100" s="11">
        <f>IF(AND(ISNUMBER(D100),ISNUMBER(E100)),E100-D100,"")</f>
        <v/>
      </c>
      <c r="G100" s="7" t="n"/>
      <c r="H100" s="7" t="n"/>
      <c r="I100" s="7" t="n"/>
      <c r="J100" s="7" t="n"/>
      <c r="K100" s="7">
        <f>IF(COUNT(H100:J100)&gt;0,SUM(H100:J100),"")</f>
        <v/>
      </c>
      <c r="L100" s="8">
        <f>IF(AND(ISNUMBER(K100),ISNUMBER(E100),E100&gt;0),K100/E100,"")</f>
        <v/>
      </c>
      <c r="M100" s="7" t="n"/>
      <c r="N100" s="10" t="n"/>
      <c r="O100" s="1" t="n"/>
    </row>
    <row r="101" ht="15" customHeight="1" s="22">
      <c r="A101" s="1" t="n"/>
      <c r="B101" s="12" t="n"/>
      <c r="C101" s="10" t="n"/>
      <c r="D101" s="7" t="n"/>
      <c r="E101" s="7" t="n"/>
      <c r="F101" s="11">
        <f>IF(AND(ISNUMBER(D101),ISNUMBER(E101)),E101-D101,"")</f>
        <v/>
      </c>
      <c r="G101" s="7" t="n"/>
      <c r="H101" s="7" t="n"/>
      <c r="I101" s="7" t="n"/>
      <c r="J101" s="7" t="n"/>
      <c r="K101" s="7">
        <f>IF(COUNT(H101:J101)&gt;0,SUM(H101:J101),"")</f>
        <v/>
      </c>
      <c r="L101" s="8">
        <f>IF(AND(ISNUMBER(K101),ISNUMBER(E101),E101&gt;0),K101/E101,"")</f>
        <v/>
      </c>
      <c r="M101" s="7" t="n"/>
      <c r="N101" s="10" t="n"/>
      <c r="O101" s="1" t="n"/>
    </row>
    <row r="102" ht="15" customHeight="1" s="22">
      <c r="A102" s="1" t="n"/>
      <c r="B102" s="12" t="n"/>
      <c r="C102" s="10" t="n"/>
      <c r="D102" s="7" t="n"/>
      <c r="E102" s="7" t="n"/>
      <c r="F102" s="11">
        <f>IF(AND(ISNUMBER(D102),ISNUMBER(E102)),E102-D102,"")</f>
        <v/>
      </c>
      <c r="G102" s="7" t="n"/>
      <c r="H102" s="7" t="n"/>
      <c r="I102" s="7" t="n"/>
      <c r="J102" s="7" t="n"/>
      <c r="K102" s="7">
        <f>IF(COUNT(H102:J102)&gt;0,SUM(H102:J102),"")</f>
        <v/>
      </c>
      <c r="L102" s="8">
        <f>IF(AND(ISNUMBER(K102),ISNUMBER(E102),E102&gt;0),K102/E102,"")</f>
        <v/>
      </c>
      <c r="M102" s="7" t="n"/>
      <c r="N102" s="10" t="n"/>
      <c r="O102" s="1" t="n"/>
    </row>
    <row r="103" ht="15" customHeight="1" s="22">
      <c r="A103" s="1" t="n"/>
      <c r="B103" s="12" t="n"/>
      <c r="C103" s="10" t="n"/>
      <c r="D103" s="7" t="n"/>
      <c r="E103" s="7" t="n"/>
      <c r="F103" s="11">
        <f>IF(AND(ISNUMBER(D103),ISNUMBER(E103)),E103-D103,"")</f>
        <v/>
      </c>
      <c r="G103" s="7" t="n"/>
      <c r="H103" s="7" t="n"/>
      <c r="I103" s="7" t="n"/>
      <c r="J103" s="7" t="n"/>
      <c r="K103" s="7">
        <f>IF(COUNT(H103:J103)&gt;0,SUM(H103:J103),"")</f>
        <v/>
      </c>
      <c r="L103" s="8">
        <f>IF(AND(ISNUMBER(K103),ISNUMBER(E103),E103&gt;0),K103/E103,"")</f>
        <v/>
      </c>
      <c r="M103" s="7" t="n"/>
      <c r="N103" s="10" t="n"/>
      <c r="O103" s="1" t="n"/>
    </row>
    <row r="104" ht="15" customHeight="1" s="22">
      <c r="A104" s="1" t="n"/>
      <c r="B104" s="12" t="n"/>
      <c r="C104" s="10" t="n"/>
      <c r="D104" s="7" t="n"/>
      <c r="E104" s="7" t="n"/>
      <c r="F104" s="11">
        <f>IF(AND(ISNUMBER(D104),ISNUMBER(E104)),E104-D104,"")</f>
        <v/>
      </c>
      <c r="G104" s="7" t="n"/>
      <c r="H104" s="7" t="n"/>
      <c r="I104" s="7" t="n"/>
      <c r="J104" s="7" t="n"/>
      <c r="K104" s="7">
        <f>IF(COUNT(H104:J104)&gt;0,SUM(H104:J104),"")</f>
        <v/>
      </c>
      <c r="L104" s="8">
        <f>IF(AND(ISNUMBER(K104),ISNUMBER(E104),E104&gt;0),K104/E104,"")</f>
        <v/>
      </c>
      <c r="M104" s="7" t="n"/>
      <c r="N104" s="10" t="n"/>
      <c r="O104" s="1" t="n"/>
    </row>
    <row r="105" ht="15" customHeight="1" s="22">
      <c r="A105" s="1" t="n"/>
      <c r="B105" s="12" t="n"/>
      <c r="C105" s="10" t="n"/>
      <c r="D105" s="7" t="n"/>
      <c r="E105" s="7" t="n"/>
      <c r="F105" s="11">
        <f>IF(AND(ISNUMBER(D105),ISNUMBER(E105)),E105-D105,"")</f>
        <v/>
      </c>
      <c r="G105" s="7" t="n"/>
      <c r="H105" s="7" t="n"/>
      <c r="I105" s="7" t="n"/>
      <c r="J105" s="7" t="n"/>
      <c r="K105" s="7">
        <f>IF(COUNT(H105:J105)&gt;0,SUM(H105:J105),"")</f>
        <v/>
      </c>
      <c r="L105" s="8">
        <f>IF(AND(ISNUMBER(K105),ISNUMBER(E105),E105&gt;0),K105/E105,"")</f>
        <v/>
      </c>
      <c r="M105" s="7" t="n"/>
      <c r="N105" s="10" t="n"/>
      <c r="O105" s="1" t="n"/>
    </row>
    <row r="106" ht="15" customHeight="1" s="22">
      <c r="A106" s="1" t="n"/>
      <c r="B106" s="12" t="n"/>
      <c r="C106" s="10" t="n"/>
      <c r="D106" s="7" t="n"/>
      <c r="E106" s="7" t="n"/>
      <c r="F106" s="11">
        <f>IF(AND(ISNUMBER(D106),ISNUMBER(E106)),E106-D106,"")</f>
        <v/>
      </c>
      <c r="G106" s="7" t="n"/>
      <c r="H106" s="7" t="n"/>
      <c r="I106" s="7" t="n"/>
      <c r="J106" s="7" t="n"/>
      <c r="K106" s="7">
        <f>IF(COUNT(H106:J106)&gt;0,SUM(H106:J106),"")</f>
        <v/>
      </c>
      <c r="L106" s="8">
        <f>IF(AND(ISNUMBER(K106),ISNUMBER(E106),E106&gt;0),K106/E106,"")</f>
        <v/>
      </c>
      <c r="M106" s="7" t="n"/>
      <c r="N106" s="10" t="n"/>
      <c r="O106" s="1" t="n"/>
    </row>
    <row r="107" ht="15" customHeight="1" s="22">
      <c r="A107" s="1" t="n"/>
      <c r="B107" s="12" t="n"/>
      <c r="C107" s="10" t="n"/>
      <c r="D107" s="7" t="n"/>
      <c r="E107" s="7" t="n"/>
      <c r="F107" s="11">
        <f>IF(AND(ISNUMBER(D107),ISNUMBER(E107)),E107-D107,"")</f>
        <v/>
      </c>
      <c r="G107" s="7" t="n"/>
      <c r="H107" s="7" t="n"/>
      <c r="I107" s="7" t="n"/>
      <c r="J107" s="7" t="n"/>
      <c r="K107" s="7">
        <f>IF(COUNT(H107:J107)&gt;0,SUM(H107:J107),"")</f>
        <v/>
      </c>
      <c r="L107" s="8">
        <f>IF(AND(ISNUMBER(K107),ISNUMBER(E107),E107&gt;0),K107/E107,"")</f>
        <v/>
      </c>
      <c r="M107" s="7" t="n"/>
      <c r="N107" s="10" t="n"/>
      <c r="O107" s="1" t="n"/>
    </row>
    <row r="108" ht="15" customHeight="1" s="22">
      <c r="A108" s="1" t="n"/>
      <c r="B108" s="12" t="n"/>
      <c r="C108" s="10" t="n"/>
      <c r="D108" s="7" t="n"/>
      <c r="E108" s="7" t="n"/>
      <c r="F108" s="11">
        <f>IF(AND(ISNUMBER(D108),ISNUMBER(E108)),E108-D108,"")</f>
        <v/>
      </c>
      <c r="G108" s="7" t="n"/>
      <c r="H108" s="7" t="n"/>
      <c r="I108" s="7" t="n"/>
      <c r="J108" s="7" t="n"/>
      <c r="K108" s="7">
        <f>IF(COUNT(H108:J108)&gt;0,SUM(H108:J108),"")</f>
        <v/>
      </c>
      <c r="L108" s="8">
        <f>IF(AND(ISNUMBER(K108),ISNUMBER(E108),E108&gt;0),K108/E108,"")</f>
        <v/>
      </c>
      <c r="M108" s="7" t="n"/>
      <c r="N108" s="10" t="n"/>
      <c r="O108" s="1" t="n"/>
    </row>
    <row r="109" ht="15" customHeight="1" s="22">
      <c r="A109" s="1" t="n"/>
      <c r="B109" s="12" t="n"/>
      <c r="C109" s="10" t="n"/>
      <c r="D109" s="7" t="n"/>
      <c r="E109" s="7" t="n"/>
      <c r="F109" s="11">
        <f>IF(AND(ISNUMBER(D109),ISNUMBER(E109)),E109-D109,"")</f>
        <v/>
      </c>
      <c r="G109" s="7" t="n"/>
      <c r="H109" s="7" t="n"/>
      <c r="I109" s="7" t="n"/>
      <c r="J109" s="7" t="n"/>
      <c r="K109" s="7">
        <f>IF(COUNT(H109:J109)&gt;0,SUM(H109:J109),"")</f>
        <v/>
      </c>
      <c r="L109" s="8">
        <f>IF(AND(ISNUMBER(K109),ISNUMBER(E109),E109&gt;0),K109/E109,"")</f>
        <v/>
      </c>
      <c r="M109" s="7" t="n"/>
      <c r="N109" s="10" t="n"/>
      <c r="O109" s="1" t="n"/>
    </row>
    <row r="110" ht="15" customHeight="1" s="22">
      <c r="A110" s="1" t="n"/>
      <c r="B110" s="12" t="n"/>
      <c r="C110" s="10" t="n"/>
      <c r="D110" s="7" t="n"/>
      <c r="E110" s="7" t="n"/>
      <c r="F110" s="11">
        <f>IF(AND(ISNUMBER(D110),ISNUMBER(E110)),E110-D110,"")</f>
        <v/>
      </c>
      <c r="G110" s="7" t="n"/>
      <c r="H110" s="7" t="n"/>
      <c r="I110" s="7" t="n"/>
      <c r="J110" s="7" t="n"/>
      <c r="K110" s="7">
        <f>IF(COUNT(H110:J110)&gt;0,SUM(H110:J110),"")</f>
        <v/>
      </c>
      <c r="L110" s="8">
        <f>IF(AND(ISNUMBER(K110),ISNUMBER(E110),E110&gt;0),K110/E110,"")</f>
        <v/>
      </c>
      <c r="M110" s="7" t="n"/>
      <c r="N110" s="10" t="n"/>
      <c r="O110" s="1" t="n"/>
    </row>
    <row r="111" ht="15" customHeight="1" s="22">
      <c r="A111" s="1" t="n"/>
      <c r="B111" s="12" t="n"/>
      <c r="C111" s="10" t="n"/>
      <c r="D111" s="7" t="n"/>
      <c r="E111" s="7" t="n"/>
      <c r="F111" s="11">
        <f>IF(AND(ISNUMBER(D111),ISNUMBER(E111)),E111-D111,"")</f>
        <v/>
      </c>
      <c r="G111" s="7" t="n"/>
      <c r="H111" s="7" t="n"/>
      <c r="I111" s="7" t="n"/>
      <c r="J111" s="7" t="n"/>
      <c r="K111" s="7">
        <f>IF(COUNT(H111:J111)&gt;0,SUM(H111:J111),"")</f>
        <v/>
      </c>
      <c r="L111" s="8">
        <f>IF(AND(ISNUMBER(K111),ISNUMBER(E111),E111&gt;0),K111/E111,"")</f>
        <v/>
      </c>
      <c r="M111" s="7" t="n"/>
      <c r="N111" s="10" t="n"/>
      <c r="O111" s="1" t="n"/>
    </row>
    <row r="112" ht="15" customHeight="1" s="22">
      <c r="A112" s="1" t="n"/>
      <c r="B112" s="12" t="n"/>
      <c r="C112" s="10" t="n"/>
      <c r="D112" s="7" t="n"/>
      <c r="E112" s="7" t="n"/>
      <c r="F112" s="11">
        <f>IF(AND(ISNUMBER(D112),ISNUMBER(E112)),E112-D112,"")</f>
        <v/>
      </c>
      <c r="G112" s="7" t="n"/>
      <c r="H112" s="7" t="n"/>
      <c r="I112" s="7" t="n"/>
      <c r="J112" s="7" t="n"/>
      <c r="K112" s="7">
        <f>IF(COUNT(H112:J112)&gt;0,SUM(H112:J112),"")</f>
        <v/>
      </c>
      <c r="L112" s="8">
        <f>IF(AND(ISNUMBER(K112),ISNUMBER(E112),E112&gt;0),K112/E112,"")</f>
        <v/>
      </c>
      <c r="M112" s="7" t="n"/>
      <c r="N112" s="10" t="n"/>
      <c r="O112" s="1" t="n"/>
    </row>
    <row r="113" ht="15" customHeight="1" s="22">
      <c r="A113" s="1" t="n"/>
      <c r="B113" s="12" t="n"/>
      <c r="C113" s="10" t="n"/>
      <c r="D113" s="7" t="n"/>
      <c r="E113" s="7" t="n"/>
      <c r="F113" s="11">
        <f>IF(AND(ISNUMBER(D113),ISNUMBER(E113)),E113-D113,"")</f>
        <v/>
      </c>
      <c r="G113" s="7" t="n"/>
      <c r="H113" s="7" t="n"/>
      <c r="I113" s="7" t="n"/>
      <c r="J113" s="7" t="n"/>
      <c r="K113" s="7">
        <f>IF(COUNT(H113:J113)&gt;0,SUM(H113:J113),"")</f>
        <v/>
      </c>
      <c r="L113" s="8">
        <f>IF(AND(ISNUMBER(K113),ISNUMBER(E113),E113&gt;0),K113/E113,"")</f>
        <v/>
      </c>
      <c r="M113" s="7" t="n"/>
      <c r="N113" s="10" t="n"/>
      <c r="O113" s="1" t="n"/>
    </row>
    <row r="114" ht="15" customHeight="1" s="22">
      <c r="A114" s="1" t="n"/>
      <c r="B114" s="12" t="n"/>
      <c r="C114" s="10" t="n"/>
      <c r="D114" s="7" t="n"/>
      <c r="E114" s="7" t="n"/>
      <c r="F114" s="11">
        <f>IF(AND(ISNUMBER(D114),ISNUMBER(E114)),E114-D114,"")</f>
        <v/>
      </c>
      <c r="G114" s="7" t="n"/>
      <c r="H114" s="7" t="n"/>
      <c r="I114" s="7" t="n"/>
      <c r="J114" s="7" t="n"/>
      <c r="K114" s="7">
        <f>IF(COUNT(H114:J114)&gt;0,SUM(H114:J114),"")</f>
        <v/>
      </c>
      <c r="L114" s="8">
        <f>IF(AND(ISNUMBER(K114),ISNUMBER(E114),E114&gt;0),K114/E114,"")</f>
        <v/>
      </c>
      <c r="M114" s="7" t="n"/>
      <c r="N114" s="10" t="n"/>
      <c r="O114" s="1" t="n"/>
    </row>
    <row r="115" ht="15" customHeight="1" s="22">
      <c r="A115" s="1" t="n"/>
      <c r="B115" s="12" t="n"/>
      <c r="C115" s="10" t="n"/>
      <c r="D115" s="7" t="n"/>
      <c r="E115" s="7" t="n"/>
      <c r="F115" s="11">
        <f>IF(AND(ISNUMBER(D115),ISNUMBER(E115)),E115-D115,"")</f>
        <v/>
      </c>
      <c r="G115" s="7" t="n"/>
      <c r="H115" s="7" t="n"/>
      <c r="I115" s="7" t="n"/>
      <c r="J115" s="7" t="n"/>
      <c r="K115" s="7">
        <f>IF(COUNT(H115:J115)&gt;0,SUM(H115:J115),"")</f>
        <v/>
      </c>
      <c r="L115" s="8">
        <f>IF(AND(ISNUMBER(K115),ISNUMBER(E115),E115&gt;0),K115/E115,"")</f>
        <v/>
      </c>
      <c r="M115" s="7" t="n"/>
      <c r="N115" s="10" t="n"/>
      <c r="O115" s="1" t="n"/>
    </row>
    <row r="116" ht="15" customHeight="1" s="22">
      <c r="A116" s="1" t="n"/>
      <c r="B116" s="12" t="n"/>
      <c r="C116" s="10" t="n"/>
      <c r="D116" s="7" t="n"/>
      <c r="E116" s="7" t="n"/>
      <c r="F116" s="11">
        <f>IF(AND(ISNUMBER(D116),ISNUMBER(E116)),E116-D116,"")</f>
        <v/>
      </c>
      <c r="G116" s="7" t="n"/>
      <c r="H116" s="7" t="n"/>
      <c r="I116" s="7" t="n"/>
      <c r="J116" s="7" t="n"/>
      <c r="K116" s="7">
        <f>IF(COUNT(H116:J116)&gt;0,SUM(H116:J116),"")</f>
        <v/>
      </c>
      <c r="L116" s="8">
        <f>IF(AND(ISNUMBER(K116),ISNUMBER(E116),E116&gt;0),K116/E116,"")</f>
        <v/>
      </c>
      <c r="M116" s="7" t="n"/>
      <c r="N116" s="10" t="n"/>
      <c r="O116" s="1" t="n"/>
    </row>
    <row r="117" ht="15" customHeight="1" s="22">
      <c r="A117" s="1" t="n"/>
      <c r="B117" s="12" t="n"/>
      <c r="C117" s="10" t="n"/>
      <c r="D117" s="7" t="n"/>
      <c r="E117" s="7" t="n"/>
      <c r="F117" s="11">
        <f>IF(AND(ISNUMBER(D117),ISNUMBER(E117)),E117-D117,"")</f>
        <v/>
      </c>
      <c r="G117" s="7" t="n"/>
      <c r="H117" s="7" t="n"/>
      <c r="I117" s="7" t="n"/>
      <c r="J117" s="7" t="n"/>
      <c r="K117" s="7">
        <f>IF(COUNT(H117:J117)&gt;0,SUM(H117:J117),"")</f>
        <v/>
      </c>
      <c r="L117" s="8">
        <f>IF(AND(ISNUMBER(K117),ISNUMBER(E117),E117&gt;0),K117/E117,"")</f>
        <v/>
      </c>
      <c r="M117" s="7" t="n"/>
      <c r="N117" s="10" t="n"/>
      <c r="O117" s="1" t="n"/>
    </row>
    <row r="118" ht="15" customHeight="1" s="22">
      <c r="A118" s="1" t="n"/>
      <c r="B118" s="12" t="n"/>
      <c r="C118" s="10" t="n"/>
      <c r="D118" s="7" t="n"/>
      <c r="E118" s="7" t="n"/>
      <c r="F118" s="11">
        <f>IF(AND(ISNUMBER(D118),ISNUMBER(E118)),E118-D118,"")</f>
        <v/>
      </c>
      <c r="G118" s="7" t="n"/>
      <c r="H118" s="7" t="n"/>
      <c r="I118" s="7" t="n"/>
      <c r="J118" s="7" t="n"/>
      <c r="K118" s="7">
        <f>IF(COUNT(H118:J118)&gt;0,SUM(H118:J118),"")</f>
        <v/>
      </c>
      <c r="L118" s="8">
        <f>IF(AND(ISNUMBER(K118),ISNUMBER(E118),E118&gt;0),K118/E118,"")</f>
        <v/>
      </c>
      <c r="M118" s="7" t="n"/>
      <c r="N118" s="10" t="n"/>
      <c r="O118" s="1" t="n"/>
    </row>
    <row r="119" ht="15" customHeight="1" s="22">
      <c r="A119" s="1" t="n"/>
      <c r="B119" s="12" t="n"/>
      <c r="C119" s="10" t="n"/>
      <c r="D119" s="7" t="n"/>
      <c r="E119" s="7" t="n"/>
      <c r="F119" s="11">
        <f>IF(AND(ISNUMBER(D119),ISNUMBER(E119)),E119-D119,"")</f>
        <v/>
      </c>
      <c r="G119" s="7" t="n"/>
      <c r="H119" s="7" t="n"/>
      <c r="I119" s="7" t="n"/>
      <c r="J119" s="7" t="n"/>
      <c r="K119" s="7">
        <f>IF(COUNT(H119:J119)&gt;0,SUM(H119:J119),"")</f>
        <v/>
      </c>
      <c r="L119" s="8">
        <f>IF(AND(ISNUMBER(K119),ISNUMBER(E119),E119&gt;0),K119/E119,"")</f>
        <v/>
      </c>
      <c r="M119" s="7" t="n"/>
      <c r="N119" s="10" t="n"/>
      <c r="O119" s="1" t="n"/>
    </row>
    <row r="120" ht="15" customHeight="1" s="22">
      <c r="A120" s="1" t="n"/>
      <c r="B120" s="12" t="n"/>
      <c r="C120" s="10" t="n"/>
      <c r="D120" s="7" t="n"/>
      <c r="E120" s="7" t="n"/>
      <c r="F120" s="11">
        <f>IF(AND(ISNUMBER(D120),ISNUMBER(E120)),E120-D120,"")</f>
        <v/>
      </c>
      <c r="G120" s="7" t="n"/>
      <c r="H120" s="7" t="n"/>
      <c r="I120" s="7" t="n"/>
      <c r="J120" s="7" t="n"/>
      <c r="K120" s="7">
        <f>IF(COUNT(H120:J120)&gt;0,SUM(H120:J120),"")</f>
        <v/>
      </c>
      <c r="L120" s="8">
        <f>IF(AND(ISNUMBER(K120),ISNUMBER(E120),E120&gt;0),K120/E120,"")</f>
        <v/>
      </c>
      <c r="M120" s="7" t="n"/>
      <c r="N120" s="10" t="n"/>
      <c r="O120" s="1" t="n"/>
    </row>
    <row r="121" ht="15" customHeight="1" s="22">
      <c r="A121" s="1" t="n"/>
      <c r="B121" s="12" t="n"/>
      <c r="C121" s="10" t="n"/>
      <c r="D121" s="7" t="n"/>
      <c r="E121" s="7" t="n"/>
      <c r="F121" s="11">
        <f>IF(AND(ISNUMBER(D121),ISNUMBER(E121)),E121-D121,"")</f>
        <v/>
      </c>
      <c r="G121" s="7" t="n"/>
      <c r="H121" s="7" t="n"/>
      <c r="I121" s="7" t="n"/>
      <c r="J121" s="7" t="n"/>
      <c r="K121" s="7">
        <f>IF(COUNT(H121:J121)&gt;0,SUM(H121:J121),"")</f>
        <v/>
      </c>
      <c r="L121" s="8">
        <f>IF(AND(ISNUMBER(K121),ISNUMBER(E121),E121&gt;0),K121/E121,"")</f>
        <v/>
      </c>
      <c r="M121" s="7" t="n"/>
      <c r="N121" s="10" t="n"/>
      <c r="O121" s="1" t="n"/>
    </row>
    <row r="122" ht="15" customHeight="1" s="22">
      <c r="A122" s="1" t="n"/>
      <c r="B122" s="12" t="n"/>
      <c r="C122" s="10" t="n"/>
      <c r="D122" s="7" t="n"/>
      <c r="E122" s="7" t="n"/>
      <c r="F122" s="11">
        <f>IF(AND(ISNUMBER(D122),ISNUMBER(E122)),E122-D122,"")</f>
        <v/>
      </c>
      <c r="G122" s="7" t="n"/>
      <c r="H122" s="7" t="n"/>
      <c r="I122" s="7" t="n"/>
      <c r="J122" s="7" t="n"/>
      <c r="K122" s="7">
        <f>IF(COUNT(H122:J122)&gt;0,SUM(H122:J122),"")</f>
        <v/>
      </c>
      <c r="L122" s="8">
        <f>IF(AND(ISNUMBER(K122),ISNUMBER(E122),E122&gt;0),K122/E122,"")</f>
        <v/>
      </c>
      <c r="M122" s="7" t="n"/>
      <c r="N122" s="10" t="n"/>
      <c r="O122" s="1" t="n"/>
    </row>
    <row r="123" ht="15" customHeight="1" s="22">
      <c r="A123" s="1" t="n"/>
      <c r="B123" s="12" t="n"/>
      <c r="C123" s="10" t="n"/>
      <c r="D123" s="7" t="n"/>
      <c r="E123" s="7" t="n"/>
      <c r="F123" s="11">
        <f>IF(AND(ISNUMBER(D123),ISNUMBER(E123)),E123-D123,"")</f>
        <v/>
      </c>
      <c r="G123" s="7" t="n"/>
      <c r="H123" s="7" t="n"/>
      <c r="I123" s="7" t="n"/>
      <c r="J123" s="7" t="n"/>
      <c r="K123" s="7">
        <f>IF(COUNT(H123:J123)&gt;0,SUM(H123:J123),"")</f>
        <v/>
      </c>
      <c r="L123" s="8">
        <f>IF(AND(ISNUMBER(K123),ISNUMBER(E123),E123&gt;0),K123/E123,"")</f>
        <v/>
      </c>
      <c r="M123" s="7" t="n"/>
      <c r="N123" s="10" t="n"/>
      <c r="O123" s="1" t="n"/>
    </row>
    <row r="124" ht="15" customHeight="1" s="22">
      <c r="A124" s="1" t="n"/>
      <c r="B124" s="12" t="n"/>
      <c r="C124" s="10" t="n"/>
      <c r="D124" s="7" t="n"/>
      <c r="E124" s="7" t="n"/>
      <c r="F124" s="11">
        <f>IF(AND(ISNUMBER(D124),ISNUMBER(E124)),E124-D124,"")</f>
        <v/>
      </c>
      <c r="G124" s="7" t="n"/>
      <c r="H124" s="7" t="n"/>
      <c r="I124" s="7" t="n"/>
      <c r="J124" s="7" t="n"/>
      <c r="K124" s="7">
        <f>IF(COUNT(H124:J124)&gt;0,SUM(H124:J124),"")</f>
        <v/>
      </c>
      <c r="L124" s="8">
        <f>IF(AND(ISNUMBER(K124),ISNUMBER(E124),E124&gt;0),K124/E124,"")</f>
        <v/>
      </c>
      <c r="M124" s="7" t="n"/>
      <c r="N124" s="10" t="n"/>
      <c r="O124" s="1" t="n"/>
    </row>
    <row r="125" ht="15" customHeight="1" s="22">
      <c r="A125" s="1" t="n"/>
      <c r="B125" s="12" t="n"/>
      <c r="C125" s="10" t="n"/>
      <c r="D125" s="7" t="n"/>
      <c r="E125" s="7" t="n"/>
      <c r="F125" s="11">
        <f>IF(AND(ISNUMBER(D125),ISNUMBER(E125)),E125-D125,"")</f>
        <v/>
      </c>
      <c r="G125" s="7" t="n"/>
      <c r="H125" s="7" t="n"/>
      <c r="I125" s="7" t="n"/>
      <c r="J125" s="7" t="n"/>
      <c r="K125" s="7">
        <f>IF(COUNT(H125:J125)&gt;0,SUM(H125:J125),"")</f>
        <v/>
      </c>
      <c r="L125" s="8">
        <f>IF(AND(ISNUMBER(K125),ISNUMBER(E125),E125&gt;0),K125/E125,"")</f>
        <v/>
      </c>
      <c r="M125" s="7" t="n"/>
      <c r="N125" s="10" t="n"/>
      <c r="O125" s="1" t="n"/>
    </row>
    <row r="126" ht="15" customHeight="1" s="22">
      <c r="A126" s="1" t="n"/>
      <c r="B126" s="12" t="n"/>
      <c r="C126" s="10" t="n"/>
      <c r="D126" s="7" t="n"/>
      <c r="E126" s="7" t="n"/>
      <c r="F126" s="11">
        <f>IF(AND(ISNUMBER(D126),ISNUMBER(E126)),E126-D126,"")</f>
        <v/>
      </c>
      <c r="G126" s="7" t="n"/>
      <c r="H126" s="7" t="n"/>
      <c r="I126" s="7" t="n"/>
      <c r="J126" s="7" t="n"/>
      <c r="K126" s="7">
        <f>IF(COUNT(H126:J126)&gt;0,SUM(H126:J126),"")</f>
        <v/>
      </c>
      <c r="L126" s="8">
        <f>IF(AND(ISNUMBER(K126),ISNUMBER(E126),E126&gt;0),K126/E126,"")</f>
        <v/>
      </c>
      <c r="M126" s="7" t="n"/>
      <c r="N126" s="10" t="n"/>
      <c r="O126" s="1" t="n"/>
    </row>
    <row r="127" ht="15" customHeight="1" s="22">
      <c r="A127" s="1" t="n"/>
      <c r="B127" s="12" t="n"/>
      <c r="C127" s="10" t="n"/>
      <c r="D127" s="7" t="n"/>
      <c r="E127" s="7" t="n"/>
      <c r="F127" s="11">
        <f>IF(AND(ISNUMBER(D127),ISNUMBER(E127)),E127-D127,"")</f>
        <v/>
      </c>
      <c r="G127" s="7" t="n"/>
      <c r="H127" s="7" t="n"/>
      <c r="I127" s="7" t="n"/>
      <c r="J127" s="7" t="n"/>
      <c r="K127" s="7">
        <f>IF(COUNT(H127:J127)&gt;0,SUM(H127:J127),"")</f>
        <v/>
      </c>
      <c r="L127" s="8">
        <f>IF(AND(ISNUMBER(K127),ISNUMBER(E127),E127&gt;0),K127/E127,"")</f>
        <v/>
      </c>
      <c r="M127" s="7" t="n"/>
      <c r="N127" s="10" t="n"/>
      <c r="O127" s="1" t="n"/>
    </row>
    <row r="128" ht="15" customHeight="1" s="22">
      <c r="A128" s="1" t="n"/>
      <c r="B128" s="12" t="n"/>
      <c r="C128" s="10" t="n"/>
      <c r="D128" s="7" t="n"/>
      <c r="E128" s="7" t="n"/>
      <c r="F128" s="11">
        <f>IF(AND(ISNUMBER(D128),ISNUMBER(E128)),E128-D128,"")</f>
        <v/>
      </c>
      <c r="G128" s="7" t="n"/>
      <c r="H128" s="7" t="n"/>
      <c r="I128" s="7" t="n"/>
      <c r="J128" s="7" t="n"/>
      <c r="K128" s="7">
        <f>IF(COUNT(H128:J128)&gt;0,SUM(H128:J128),"")</f>
        <v/>
      </c>
      <c r="L128" s="8">
        <f>IF(AND(ISNUMBER(K128),ISNUMBER(E128),E128&gt;0),K128/E128,"")</f>
        <v/>
      </c>
      <c r="M128" s="7" t="n"/>
      <c r="N128" s="10" t="n"/>
      <c r="O128" s="1" t="n"/>
    </row>
    <row r="129" ht="15" customHeight="1" s="22">
      <c r="A129" s="1" t="n"/>
      <c r="B129" s="12" t="n"/>
      <c r="C129" s="10" t="n"/>
      <c r="D129" s="7" t="n"/>
      <c r="E129" s="7" t="n"/>
      <c r="F129" s="11">
        <f>IF(AND(ISNUMBER(D129),ISNUMBER(E129)),E129-D129,"")</f>
        <v/>
      </c>
      <c r="G129" s="7" t="n"/>
      <c r="H129" s="7" t="n"/>
      <c r="I129" s="7" t="n"/>
      <c r="J129" s="7" t="n"/>
      <c r="K129" s="7">
        <f>IF(COUNT(H129:J129)&gt;0,SUM(H129:J129),"")</f>
        <v/>
      </c>
      <c r="L129" s="8">
        <f>IF(AND(ISNUMBER(K129),ISNUMBER(E129),E129&gt;0),K129/E129,"")</f>
        <v/>
      </c>
      <c r="M129" s="7" t="n"/>
      <c r="N129" s="10" t="n"/>
      <c r="O129" s="1" t="n"/>
    </row>
    <row r="130" ht="15" customHeight="1" s="22">
      <c r="A130" s="1" t="n"/>
      <c r="B130" s="12" t="n"/>
      <c r="C130" s="10" t="n"/>
      <c r="D130" s="7" t="n"/>
      <c r="E130" s="7" t="n"/>
      <c r="F130" s="11">
        <f>IF(AND(ISNUMBER(D130),ISNUMBER(E130)),E130-D130,"")</f>
        <v/>
      </c>
      <c r="G130" s="7" t="n"/>
      <c r="H130" s="7" t="n"/>
      <c r="I130" s="7" t="n"/>
      <c r="J130" s="7" t="n"/>
      <c r="K130" s="7">
        <f>IF(COUNT(H130:J130)&gt;0,SUM(H130:J130),"")</f>
        <v/>
      </c>
      <c r="L130" s="8">
        <f>IF(AND(ISNUMBER(K130),ISNUMBER(E130),E130&gt;0),K130/E130,"")</f>
        <v/>
      </c>
      <c r="M130" s="7" t="n"/>
      <c r="N130" s="10" t="n"/>
      <c r="O130" s="1" t="n"/>
    </row>
    <row r="131" ht="15" customHeight="1" s="22">
      <c r="A131" s="1" t="n"/>
      <c r="B131" s="12" t="n"/>
      <c r="C131" s="10" t="n"/>
      <c r="D131" s="7" t="n"/>
      <c r="E131" s="7" t="n"/>
      <c r="F131" s="11">
        <f>IF(AND(ISNUMBER(D131),ISNUMBER(E131)),E131-D131,"")</f>
        <v/>
      </c>
      <c r="G131" s="7" t="n"/>
      <c r="H131" s="7" t="n"/>
      <c r="I131" s="7" t="n"/>
      <c r="J131" s="7" t="n"/>
      <c r="K131" s="7">
        <f>IF(COUNT(H131:J131)&gt;0,SUM(H131:J131),"")</f>
        <v/>
      </c>
      <c r="L131" s="8">
        <f>IF(AND(ISNUMBER(K131),ISNUMBER(E131),E131&gt;0),K131/E131,"")</f>
        <v/>
      </c>
      <c r="M131" s="7" t="n"/>
      <c r="N131" s="10" t="n"/>
      <c r="O131" s="1" t="n"/>
    </row>
    <row r="132" ht="15" customHeight="1" s="22">
      <c r="A132" s="1" t="n"/>
      <c r="B132" s="12" t="n"/>
      <c r="C132" s="10" t="n"/>
      <c r="D132" s="7" t="n"/>
      <c r="E132" s="7" t="n"/>
      <c r="F132" s="11">
        <f>IF(AND(ISNUMBER(D132),ISNUMBER(E132)),E132-D132,"")</f>
        <v/>
      </c>
      <c r="G132" s="7" t="n"/>
      <c r="H132" s="7" t="n"/>
      <c r="I132" s="7" t="n"/>
      <c r="J132" s="7" t="n"/>
      <c r="K132" s="7">
        <f>IF(COUNT(H132:J132)&gt;0,SUM(H132:J132),"")</f>
        <v/>
      </c>
      <c r="L132" s="8">
        <f>IF(AND(ISNUMBER(K132),ISNUMBER(E132),E132&gt;0),K132/E132,"")</f>
        <v/>
      </c>
      <c r="M132" s="7" t="n"/>
      <c r="N132" s="10" t="n"/>
      <c r="O132" s="1" t="n"/>
    </row>
    <row r="133" ht="15" customHeight="1" s="22">
      <c r="A133" s="1" t="n"/>
      <c r="B133" s="12" t="n"/>
      <c r="C133" s="10" t="n"/>
      <c r="D133" s="7" t="n"/>
      <c r="E133" s="7" t="n"/>
      <c r="F133" s="11">
        <f>IF(AND(ISNUMBER(D133),ISNUMBER(E133)),E133-D133,"")</f>
        <v/>
      </c>
      <c r="G133" s="7" t="n"/>
      <c r="H133" s="7" t="n"/>
      <c r="I133" s="7" t="n"/>
      <c r="J133" s="7" t="n"/>
      <c r="K133" s="7">
        <f>IF(COUNT(H133:J133)&gt;0,SUM(H133:J133),"")</f>
        <v/>
      </c>
      <c r="L133" s="8">
        <f>IF(AND(ISNUMBER(K133),ISNUMBER(E133),E133&gt;0),K133/E133,"")</f>
        <v/>
      </c>
      <c r="M133" s="7" t="n"/>
      <c r="N133" s="10" t="n"/>
      <c r="O133" s="1" t="n"/>
    </row>
    <row r="134" ht="15" customHeight="1" s="22">
      <c r="A134" s="1" t="n"/>
      <c r="B134" s="12" t="n"/>
      <c r="C134" s="10" t="n"/>
      <c r="D134" s="7" t="n"/>
      <c r="E134" s="7" t="n"/>
      <c r="F134" s="11">
        <f>IF(AND(ISNUMBER(D134),ISNUMBER(E134)),E134-D134,"")</f>
        <v/>
      </c>
      <c r="G134" s="7" t="n"/>
      <c r="H134" s="7" t="n"/>
      <c r="I134" s="7" t="n"/>
      <c r="J134" s="7" t="n"/>
      <c r="K134" s="7">
        <f>IF(COUNT(H134:J134)&gt;0,SUM(H134:J134),"")</f>
        <v/>
      </c>
      <c r="L134" s="8">
        <f>IF(AND(ISNUMBER(K134),ISNUMBER(E134),E134&gt;0),K134/E134,"")</f>
        <v/>
      </c>
      <c r="M134" s="7" t="n"/>
      <c r="N134" s="10" t="n"/>
      <c r="O134" s="1" t="n"/>
    </row>
    <row r="135" ht="15" customHeight="1" s="22">
      <c r="A135" s="1" t="n"/>
      <c r="B135" s="12" t="n"/>
      <c r="C135" s="10" t="n"/>
      <c r="D135" s="7" t="n"/>
      <c r="E135" s="7" t="n"/>
      <c r="F135" s="11">
        <f>IF(AND(ISNUMBER(D135),ISNUMBER(E135)),E135-D135,"")</f>
        <v/>
      </c>
      <c r="G135" s="7" t="n"/>
      <c r="H135" s="7" t="n"/>
      <c r="I135" s="7" t="n"/>
      <c r="J135" s="7" t="n"/>
      <c r="K135" s="7">
        <f>IF(COUNT(H135:J135)&gt;0,SUM(H135:J135),"")</f>
        <v/>
      </c>
      <c r="L135" s="8">
        <f>IF(AND(ISNUMBER(K135),ISNUMBER(E135),E135&gt;0),K135/E135,"")</f>
        <v/>
      </c>
      <c r="M135" s="7" t="n"/>
      <c r="N135" s="10" t="n"/>
      <c r="O135" s="1" t="n"/>
    </row>
    <row r="136" ht="15" customHeight="1" s="22">
      <c r="A136" s="1" t="n"/>
      <c r="B136" s="12" t="n"/>
      <c r="C136" s="10" t="n"/>
      <c r="D136" s="7" t="n"/>
      <c r="E136" s="7" t="n"/>
      <c r="F136" s="11">
        <f>IF(AND(ISNUMBER(D136),ISNUMBER(E136)),E136-D136,"")</f>
        <v/>
      </c>
      <c r="G136" s="7" t="n"/>
      <c r="H136" s="7" t="n"/>
      <c r="I136" s="7" t="n"/>
      <c r="J136" s="7" t="n"/>
      <c r="K136" s="7">
        <f>IF(COUNT(H136:J136)&gt;0,SUM(H136:J136),"")</f>
        <v/>
      </c>
      <c r="L136" s="8">
        <f>IF(AND(ISNUMBER(K136),ISNUMBER(E136),E136&gt;0),K136/E136,"")</f>
        <v/>
      </c>
      <c r="M136" s="7" t="n"/>
      <c r="N136" s="10" t="n"/>
      <c r="O136" s="1" t="n"/>
    </row>
    <row r="137" ht="15" customHeight="1" s="22">
      <c r="A137" s="1" t="n"/>
      <c r="B137" s="12" t="n"/>
      <c r="C137" s="10" t="n"/>
      <c r="D137" s="7" t="n"/>
      <c r="E137" s="7" t="n"/>
      <c r="F137" s="11">
        <f>IF(AND(ISNUMBER(D137),ISNUMBER(E137)),E137-D137,"")</f>
        <v/>
      </c>
      <c r="G137" s="7" t="n"/>
      <c r="H137" s="7" t="n"/>
      <c r="I137" s="7" t="n"/>
      <c r="J137" s="7" t="n"/>
      <c r="K137" s="7">
        <f>IF(COUNT(H137:J137)&gt;0,SUM(H137:J137),"")</f>
        <v/>
      </c>
      <c r="L137" s="8">
        <f>IF(AND(ISNUMBER(K137),ISNUMBER(E137),E137&gt;0),K137/E137,"")</f>
        <v/>
      </c>
      <c r="M137" s="7" t="n"/>
      <c r="N137" s="10" t="n"/>
      <c r="O137" s="1" t="n"/>
    </row>
    <row r="138" ht="15" customHeight="1" s="22">
      <c r="A138" s="1" t="n"/>
      <c r="B138" s="12" t="n"/>
      <c r="C138" s="10" t="n"/>
      <c r="D138" s="7" t="n"/>
      <c r="E138" s="7" t="n"/>
      <c r="F138" s="11">
        <f>IF(AND(ISNUMBER(D138),ISNUMBER(E138)),E138-D138,"")</f>
        <v/>
      </c>
      <c r="G138" s="7" t="n"/>
      <c r="H138" s="7" t="n"/>
      <c r="I138" s="7" t="n"/>
      <c r="J138" s="7" t="n"/>
      <c r="K138" s="7">
        <f>IF(COUNT(H138:J138)&gt;0,SUM(H138:J138),"")</f>
        <v/>
      </c>
      <c r="L138" s="8">
        <f>IF(AND(ISNUMBER(K138),ISNUMBER(E138),E138&gt;0),K138/E138,"")</f>
        <v/>
      </c>
      <c r="M138" s="7" t="n"/>
      <c r="N138" s="10" t="n"/>
      <c r="O138" s="1" t="n"/>
    </row>
    <row r="139" ht="15" customHeight="1" s="22">
      <c r="A139" s="1" t="n"/>
      <c r="B139" s="12" t="n"/>
      <c r="C139" s="10" t="n"/>
      <c r="D139" s="7" t="n"/>
      <c r="E139" s="7" t="n"/>
      <c r="F139" s="11">
        <f>IF(AND(ISNUMBER(D139),ISNUMBER(E139)),E139-D139,"")</f>
        <v/>
      </c>
      <c r="G139" s="7" t="n"/>
      <c r="H139" s="7" t="n"/>
      <c r="I139" s="7" t="n"/>
      <c r="J139" s="7" t="n"/>
      <c r="K139" s="7">
        <f>IF(COUNT(H139:J139)&gt;0,SUM(H139:J139),"")</f>
        <v/>
      </c>
      <c r="L139" s="8">
        <f>IF(AND(ISNUMBER(K139),ISNUMBER(E139),E139&gt;0),K139/E139,"")</f>
        <v/>
      </c>
      <c r="M139" s="7" t="n"/>
      <c r="N139" s="10" t="n"/>
      <c r="O139" s="1" t="n"/>
    </row>
    <row r="140" ht="15" customHeight="1" s="22">
      <c r="A140" s="1" t="n"/>
      <c r="B140" s="12" t="n"/>
      <c r="C140" s="10" t="n"/>
      <c r="D140" s="7" t="n"/>
      <c r="E140" s="7" t="n"/>
      <c r="F140" s="11">
        <f>IF(AND(ISNUMBER(D140),ISNUMBER(E140)),E140-D140,"")</f>
        <v/>
      </c>
      <c r="G140" s="7" t="n"/>
      <c r="H140" s="7" t="n"/>
      <c r="I140" s="7" t="n"/>
      <c r="J140" s="7" t="n"/>
      <c r="K140" s="7">
        <f>IF(COUNT(H140:J140)&gt;0,SUM(H140:J140),"")</f>
        <v/>
      </c>
      <c r="L140" s="8">
        <f>IF(AND(ISNUMBER(K140),ISNUMBER(E140),E140&gt;0),K140/E140,"")</f>
        <v/>
      </c>
      <c r="M140" s="7" t="n"/>
      <c r="N140" s="10" t="n"/>
      <c r="O140" s="1" t="n"/>
    </row>
    <row r="141" ht="15" customHeight="1" s="22">
      <c r="A141" s="1" t="n"/>
      <c r="B141" s="12" t="n"/>
      <c r="C141" s="10" t="n"/>
      <c r="D141" s="7" t="n"/>
      <c r="E141" s="7" t="n"/>
      <c r="F141" s="11">
        <f>IF(AND(ISNUMBER(D141),ISNUMBER(E141)),E141-D141,"")</f>
        <v/>
      </c>
      <c r="G141" s="7" t="n"/>
      <c r="H141" s="7" t="n"/>
      <c r="I141" s="7" t="n"/>
      <c r="J141" s="7" t="n"/>
      <c r="K141" s="7">
        <f>IF(COUNT(H141:J141)&gt;0,SUM(H141:J141),"")</f>
        <v/>
      </c>
      <c r="L141" s="8">
        <f>IF(AND(ISNUMBER(K141),ISNUMBER(E141),E141&gt;0),K141/E141,"")</f>
        <v/>
      </c>
      <c r="M141" s="7" t="n"/>
      <c r="N141" s="10" t="n"/>
      <c r="O141" s="1" t="n"/>
    </row>
    <row r="142" ht="15" customHeight="1" s="22">
      <c r="A142" s="1" t="n"/>
      <c r="B142" s="12" t="n"/>
      <c r="C142" s="10" t="n"/>
      <c r="D142" s="7" t="n"/>
      <c r="E142" s="7" t="n"/>
      <c r="F142" s="11">
        <f>IF(AND(ISNUMBER(D142),ISNUMBER(E142)),E142-D142,"")</f>
        <v/>
      </c>
      <c r="G142" s="7" t="n"/>
      <c r="H142" s="7" t="n"/>
      <c r="I142" s="7" t="n"/>
      <c r="J142" s="7" t="n"/>
      <c r="K142" s="7">
        <f>IF(COUNT(H142:J142)&gt;0,SUM(H142:J142),"")</f>
        <v/>
      </c>
      <c r="L142" s="8">
        <f>IF(AND(ISNUMBER(K142),ISNUMBER(E142),E142&gt;0),K142/E142,"")</f>
        <v/>
      </c>
      <c r="M142" s="7" t="n"/>
      <c r="N142" s="10" t="n"/>
      <c r="O142" s="1" t="n"/>
    </row>
    <row r="143" ht="15" customHeight="1" s="22">
      <c r="A143" s="1" t="n"/>
      <c r="B143" s="12" t="n"/>
      <c r="C143" s="10" t="n"/>
      <c r="D143" s="7" t="n"/>
      <c r="E143" s="7" t="n"/>
      <c r="F143" s="11">
        <f>IF(AND(ISNUMBER(D143),ISNUMBER(E143)),E143-D143,"")</f>
        <v/>
      </c>
      <c r="G143" s="7" t="n"/>
      <c r="H143" s="7" t="n"/>
      <c r="I143" s="7" t="n"/>
      <c r="J143" s="7" t="n"/>
      <c r="K143" s="7">
        <f>IF(COUNT(H143:J143)&gt;0,SUM(H143:J143),"")</f>
        <v/>
      </c>
      <c r="L143" s="8">
        <f>IF(AND(ISNUMBER(K143),ISNUMBER(E143),E143&gt;0),K143/E143,"")</f>
        <v/>
      </c>
      <c r="M143" s="7" t="n"/>
      <c r="N143" s="10" t="n"/>
      <c r="O143" s="1" t="n"/>
    </row>
    <row r="144" ht="15" customHeight="1" s="22">
      <c r="A144" s="1" t="n"/>
      <c r="B144" s="12" t="n"/>
      <c r="C144" s="10" t="n"/>
      <c r="D144" s="7" t="n"/>
      <c r="E144" s="7" t="n"/>
      <c r="F144" s="11">
        <f>IF(AND(ISNUMBER(D144),ISNUMBER(E144)),E144-D144,"")</f>
        <v/>
      </c>
      <c r="G144" s="7" t="n"/>
      <c r="H144" s="7" t="n"/>
      <c r="I144" s="7" t="n"/>
      <c r="J144" s="7" t="n"/>
      <c r="K144" s="7">
        <f>IF(COUNT(H144:J144)&gt;0,SUM(H144:J144),"")</f>
        <v/>
      </c>
      <c r="L144" s="8">
        <f>IF(AND(ISNUMBER(K144),ISNUMBER(E144),E144&gt;0),K144/E144,"")</f>
        <v/>
      </c>
      <c r="M144" s="7" t="n"/>
      <c r="N144" s="10" t="n"/>
      <c r="O144" s="1" t="n"/>
    </row>
    <row r="145" ht="15" customHeight="1" s="22">
      <c r="A145" s="1" t="n"/>
      <c r="B145" s="12" t="n"/>
      <c r="C145" s="10" t="n"/>
      <c r="D145" s="7" t="n"/>
      <c r="E145" s="7" t="n"/>
      <c r="F145" s="11">
        <f>IF(AND(ISNUMBER(D145),ISNUMBER(E145)),E145-D145,"")</f>
        <v/>
      </c>
      <c r="G145" s="7" t="n"/>
      <c r="H145" s="7" t="n"/>
      <c r="I145" s="7" t="n"/>
      <c r="J145" s="7" t="n"/>
      <c r="K145" s="7">
        <f>IF(COUNT(H145:J145)&gt;0,SUM(H145:J145),"")</f>
        <v/>
      </c>
      <c r="L145" s="8">
        <f>IF(AND(ISNUMBER(K145),ISNUMBER(E145),E145&gt;0),K145/E145,"")</f>
        <v/>
      </c>
      <c r="M145" s="7" t="n"/>
      <c r="N145" s="10" t="n"/>
      <c r="O145" s="1" t="n"/>
    </row>
    <row r="146" ht="15" customHeight="1" s="22">
      <c r="A146" s="1" t="n"/>
      <c r="B146" s="12" t="n"/>
      <c r="C146" s="10" t="n"/>
      <c r="D146" s="7" t="n"/>
      <c r="E146" s="7" t="n"/>
      <c r="F146" s="11">
        <f>IF(AND(ISNUMBER(D146),ISNUMBER(E146)),E146-D146,"")</f>
        <v/>
      </c>
      <c r="G146" s="7" t="n"/>
      <c r="H146" s="7" t="n"/>
      <c r="I146" s="7" t="n"/>
      <c r="J146" s="7" t="n"/>
      <c r="K146" s="7">
        <f>IF(COUNT(H146:J146)&gt;0,SUM(H146:J146),"")</f>
        <v/>
      </c>
      <c r="L146" s="8">
        <f>IF(AND(ISNUMBER(K146),ISNUMBER(E146),E146&gt;0),K146/E146,"")</f>
        <v/>
      </c>
      <c r="M146" s="7" t="n"/>
      <c r="N146" s="10" t="n"/>
      <c r="O146" s="1" t="n"/>
    </row>
    <row r="147" ht="15" customHeight="1" s="22">
      <c r="A147" s="1" t="n"/>
      <c r="B147" s="12" t="n"/>
      <c r="C147" s="10" t="n"/>
      <c r="D147" s="7" t="n"/>
      <c r="E147" s="7" t="n"/>
      <c r="F147" s="11">
        <f>IF(AND(ISNUMBER(D147),ISNUMBER(E147)),E147-D147,"")</f>
        <v/>
      </c>
      <c r="G147" s="7" t="n"/>
      <c r="H147" s="7" t="n"/>
      <c r="I147" s="7" t="n"/>
      <c r="J147" s="7" t="n"/>
      <c r="K147" s="7">
        <f>IF(COUNT(H147:J147)&gt;0,SUM(H147:J147),"")</f>
        <v/>
      </c>
      <c r="L147" s="8">
        <f>IF(AND(ISNUMBER(K147),ISNUMBER(E147),E147&gt;0),K147/E147,"")</f>
        <v/>
      </c>
      <c r="M147" s="7" t="n"/>
      <c r="N147" s="10" t="n"/>
      <c r="O147" s="1" t="n"/>
    </row>
    <row r="148" ht="15" customHeight="1" s="22">
      <c r="A148" s="1" t="n"/>
      <c r="B148" s="12" t="n"/>
      <c r="C148" s="10" t="n"/>
      <c r="D148" s="7" t="n"/>
      <c r="E148" s="7" t="n"/>
      <c r="F148" s="11">
        <f>IF(AND(ISNUMBER(D148),ISNUMBER(E148)),E148-D148,"")</f>
        <v/>
      </c>
      <c r="G148" s="7" t="n"/>
      <c r="H148" s="7" t="n"/>
      <c r="I148" s="7" t="n"/>
      <c r="J148" s="7" t="n"/>
      <c r="K148" s="7">
        <f>IF(COUNT(H148:J148)&gt;0,SUM(H148:J148),"")</f>
        <v/>
      </c>
      <c r="L148" s="8">
        <f>IF(AND(ISNUMBER(K148),ISNUMBER(E148),E148&gt;0),K148/E148,"")</f>
        <v/>
      </c>
      <c r="M148" s="7" t="n"/>
      <c r="N148" s="10" t="n"/>
      <c r="O148" s="1" t="n"/>
    </row>
    <row r="149" ht="15" customHeight="1" s="22">
      <c r="A149" s="1" t="n"/>
      <c r="B149" s="12" t="n"/>
      <c r="C149" s="10" t="n"/>
      <c r="D149" s="7" t="n"/>
      <c r="E149" s="7" t="n"/>
      <c r="F149" s="11">
        <f>IF(AND(ISNUMBER(D149),ISNUMBER(E149)),E149-D149,"")</f>
        <v/>
      </c>
      <c r="G149" s="7" t="n"/>
      <c r="H149" s="7" t="n"/>
      <c r="I149" s="7" t="n"/>
      <c r="J149" s="7" t="n"/>
      <c r="K149" s="7">
        <f>IF(COUNT(H149:J149)&gt;0,SUM(H149:J149),"")</f>
        <v/>
      </c>
      <c r="L149" s="8">
        <f>IF(AND(ISNUMBER(K149),ISNUMBER(E149),E149&gt;0),K149/E149,"")</f>
        <v/>
      </c>
      <c r="M149" s="7" t="n"/>
      <c r="N149" s="10" t="n"/>
      <c r="O149" s="1" t="n"/>
    </row>
    <row r="150" ht="15" customHeight="1" s="22">
      <c r="A150" s="1" t="n"/>
      <c r="B150" s="12" t="n"/>
      <c r="C150" s="10" t="n"/>
      <c r="D150" s="7" t="n"/>
      <c r="E150" s="7" t="n"/>
      <c r="F150" s="11">
        <f>IF(AND(ISNUMBER(D150),ISNUMBER(E150)),E150-D150,"")</f>
        <v/>
      </c>
      <c r="G150" s="7" t="n"/>
      <c r="H150" s="7" t="n"/>
      <c r="I150" s="7" t="n"/>
      <c r="J150" s="7" t="n"/>
      <c r="K150" s="7">
        <f>IF(COUNT(H150:J150)&gt;0,SUM(H150:J150),"")</f>
        <v/>
      </c>
      <c r="L150" s="8">
        <f>IF(AND(ISNUMBER(K150),ISNUMBER(E150),E150&gt;0),K150/E150,"")</f>
        <v/>
      </c>
      <c r="M150" s="7" t="n"/>
      <c r="N150" s="10" t="n"/>
      <c r="O150" s="1" t="n"/>
    </row>
    <row r="151" ht="15" customHeight="1" s="22">
      <c r="A151" s="1" t="n"/>
      <c r="B151" s="12" t="n"/>
      <c r="C151" s="10" t="n"/>
      <c r="D151" s="7" t="n"/>
      <c r="E151" s="7" t="n"/>
      <c r="F151" s="11">
        <f>IF(AND(ISNUMBER(D151),ISNUMBER(E151)),E151-D151,"")</f>
        <v/>
      </c>
      <c r="G151" s="7" t="n"/>
      <c r="H151" s="7" t="n"/>
      <c r="I151" s="7" t="n"/>
      <c r="J151" s="7" t="n"/>
      <c r="K151" s="7">
        <f>IF(COUNT(H151:J151)&gt;0,SUM(H151:J151),"")</f>
        <v/>
      </c>
      <c r="L151" s="8">
        <f>IF(AND(ISNUMBER(K151),ISNUMBER(E151),E151&gt;0),K151/E151,"")</f>
        <v/>
      </c>
      <c r="M151" s="7" t="n"/>
      <c r="N151" s="10" t="n"/>
      <c r="O151" s="1" t="n"/>
    </row>
    <row r="152" ht="15" customHeight="1" s="22">
      <c r="A152" s="1" t="n"/>
      <c r="B152" s="12" t="n"/>
      <c r="C152" s="10" t="n"/>
      <c r="D152" s="7" t="n"/>
      <c r="E152" s="7" t="n"/>
      <c r="F152" s="11">
        <f>IF(AND(ISNUMBER(D152),ISNUMBER(E152)),E152-D152,"")</f>
        <v/>
      </c>
      <c r="G152" s="7" t="n"/>
      <c r="H152" s="7" t="n"/>
      <c r="I152" s="7" t="n"/>
      <c r="J152" s="7" t="n"/>
      <c r="K152" s="7">
        <f>IF(COUNT(H152:J152)&gt;0,SUM(H152:J152),"")</f>
        <v/>
      </c>
      <c r="L152" s="8">
        <f>IF(AND(ISNUMBER(K152),ISNUMBER(E152),E152&gt;0),K152/E152,"")</f>
        <v/>
      </c>
      <c r="M152" s="7" t="n"/>
      <c r="N152" s="10" t="n"/>
      <c r="O152" s="1" t="n"/>
    </row>
    <row r="153" ht="15" customHeight="1" s="22">
      <c r="A153" s="1" t="n"/>
      <c r="B153" s="12" t="n"/>
      <c r="C153" s="10" t="n"/>
      <c r="D153" s="7" t="n"/>
      <c r="E153" s="7" t="n"/>
      <c r="F153" s="11">
        <f>IF(AND(ISNUMBER(D153),ISNUMBER(E153)),E153-D153,"")</f>
        <v/>
      </c>
      <c r="G153" s="7" t="n"/>
      <c r="H153" s="7" t="n"/>
      <c r="I153" s="7" t="n"/>
      <c r="J153" s="7" t="n"/>
      <c r="K153" s="7">
        <f>IF(COUNT(H153:J153)&gt;0,SUM(H153:J153),"")</f>
        <v/>
      </c>
      <c r="L153" s="8">
        <f>IF(AND(ISNUMBER(K153),ISNUMBER(E153),E153&gt;0),K153/E153,"")</f>
        <v/>
      </c>
      <c r="M153" s="7" t="n"/>
      <c r="N153" s="10" t="n"/>
      <c r="O153" s="1" t="n"/>
    </row>
    <row r="154" ht="15" customHeight="1" s="22">
      <c r="A154" s="1" t="n"/>
      <c r="B154" s="12" t="n"/>
      <c r="C154" s="10" t="n"/>
      <c r="D154" s="7" t="n"/>
      <c r="E154" s="7" t="n"/>
      <c r="F154" s="11">
        <f>IF(AND(ISNUMBER(D154),ISNUMBER(E154)),E154-D154,"")</f>
        <v/>
      </c>
      <c r="G154" s="7" t="n"/>
      <c r="H154" s="7" t="n"/>
      <c r="I154" s="7" t="n"/>
      <c r="J154" s="7" t="n"/>
      <c r="K154" s="7">
        <f>IF(COUNT(H154:J154)&gt;0,SUM(H154:J154),"")</f>
        <v/>
      </c>
      <c r="L154" s="8">
        <f>IF(AND(ISNUMBER(K154),ISNUMBER(E154),E154&gt;0),K154/E154,"")</f>
        <v/>
      </c>
      <c r="M154" s="7" t="n"/>
      <c r="N154" s="10" t="n"/>
      <c r="O154" s="1" t="n"/>
    </row>
    <row r="155" ht="15" customHeight="1" s="22">
      <c r="A155" s="1" t="n"/>
      <c r="B155" s="12" t="n"/>
      <c r="C155" s="10" t="n"/>
      <c r="D155" s="7" t="n"/>
      <c r="E155" s="7" t="n"/>
      <c r="F155" s="11">
        <f>IF(AND(ISNUMBER(D155),ISNUMBER(E155)),E155-D155,"")</f>
        <v/>
      </c>
      <c r="G155" s="7" t="n"/>
      <c r="H155" s="7" t="n"/>
      <c r="I155" s="7" t="n"/>
      <c r="J155" s="7" t="n"/>
      <c r="K155" s="7">
        <f>IF(COUNT(H155:J155)&gt;0,SUM(H155:J155),"")</f>
        <v/>
      </c>
      <c r="L155" s="8">
        <f>IF(AND(ISNUMBER(K155),ISNUMBER(E155),E155&gt;0),K155/E155,"")</f>
        <v/>
      </c>
      <c r="M155" s="7" t="n"/>
      <c r="N155" s="10" t="n"/>
      <c r="O155" s="1" t="n"/>
    </row>
    <row r="156" ht="15" customHeight="1" s="22">
      <c r="A156" s="1" t="n"/>
      <c r="B156" s="12" t="n"/>
      <c r="C156" s="10" t="n"/>
      <c r="D156" s="7" t="n"/>
      <c r="E156" s="7" t="n"/>
      <c r="F156" s="11">
        <f>IF(AND(ISNUMBER(D156),ISNUMBER(E156)),E156-D156,"")</f>
        <v/>
      </c>
      <c r="G156" s="7" t="n"/>
      <c r="H156" s="7" t="n"/>
      <c r="I156" s="7" t="n"/>
      <c r="J156" s="7" t="n"/>
      <c r="K156" s="7">
        <f>IF(COUNT(H156:J156)&gt;0,SUM(H156:J156),"")</f>
        <v/>
      </c>
      <c r="L156" s="8">
        <f>IF(AND(ISNUMBER(K156),ISNUMBER(E156),E156&gt;0),K156/E156,"")</f>
        <v/>
      </c>
      <c r="M156" s="7" t="n"/>
      <c r="N156" s="10" t="n"/>
      <c r="O156" s="1" t="n"/>
    </row>
    <row r="157" ht="15" customHeight="1" s="22">
      <c r="A157" s="1" t="n"/>
      <c r="B157" s="12" t="n"/>
      <c r="C157" s="10" t="n"/>
      <c r="D157" s="7" t="n"/>
      <c r="E157" s="7" t="n"/>
      <c r="F157" s="11">
        <f>IF(AND(ISNUMBER(D157),ISNUMBER(E157)),E157-D157,"")</f>
        <v/>
      </c>
      <c r="G157" s="7" t="n"/>
      <c r="H157" s="7" t="n"/>
      <c r="I157" s="7" t="n"/>
      <c r="J157" s="7" t="n"/>
      <c r="K157" s="7">
        <f>IF(COUNT(H157:J157)&gt;0,SUM(H157:J157),"")</f>
        <v/>
      </c>
      <c r="L157" s="8">
        <f>IF(AND(ISNUMBER(K157),ISNUMBER(E157),E157&gt;0),K157/E157,"")</f>
        <v/>
      </c>
      <c r="M157" s="7" t="n"/>
      <c r="N157" s="10" t="n"/>
      <c r="O157" s="1" t="n"/>
    </row>
    <row r="158" ht="15" customHeight="1" s="22">
      <c r="A158" s="1" t="n"/>
      <c r="B158" s="12" t="n"/>
      <c r="C158" s="10" t="n"/>
      <c r="D158" s="7" t="n"/>
      <c r="E158" s="7" t="n"/>
      <c r="F158" s="11">
        <f>IF(AND(ISNUMBER(D158),ISNUMBER(E158)),E158-D158,"")</f>
        <v/>
      </c>
      <c r="G158" s="7" t="n"/>
      <c r="H158" s="7" t="n"/>
      <c r="I158" s="7" t="n"/>
      <c r="J158" s="7" t="n"/>
      <c r="K158" s="7">
        <f>IF(COUNT(H158:J158)&gt;0,SUM(H158:J158),"")</f>
        <v/>
      </c>
      <c r="L158" s="8">
        <f>IF(AND(ISNUMBER(K158),ISNUMBER(E158),E158&gt;0),K158/E158,"")</f>
        <v/>
      </c>
      <c r="M158" s="7" t="n"/>
      <c r="N158" s="10" t="n"/>
      <c r="O158" s="1" t="n"/>
    </row>
    <row r="159" ht="15" customHeight="1" s="22">
      <c r="A159" s="1" t="n"/>
      <c r="B159" s="12" t="n"/>
      <c r="C159" s="10" t="n"/>
      <c r="D159" s="7" t="n"/>
      <c r="E159" s="7" t="n"/>
      <c r="F159" s="11">
        <f>IF(AND(ISNUMBER(D159),ISNUMBER(E159)),E159-D159,"")</f>
        <v/>
      </c>
      <c r="G159" s="7" t="n"/>
      <c r="H159" s="7" t="n"/>
      <c r="I159" s="7" t="n"/>
      <c r="J159" s="7" t="n"/>
      <c r="K159" s="7">
        <f>IF(COUNT(H159:J159)&gt;0,SUM(H159:J159),"")</f>
        <v/>
      </c>
      <c r="L159" s="8">
        <f>IF(AND(ISNUMBER(K159),ISNUMBER(E159),E159&gt;0),K159/E159,"")</f>
        <v/>
      </c>
      <c r="M159" s="7" t="n"/>
      <c r="N159" s="10" t="n"/>
      <c r="O159" s="1" t="n"/>
    </row>
    <row r="160" ht="15" customHeight="1" s="22">
      <c r="A160" s="1" t="n"/>
      <c r="B160" s="12" t="n"/>
      <c r="C160" s="10" t="n"/>
      <c r="D160" s="7" t="n"/>
      <c r="E160" s="7" t="n"/>
      <c r="F160" s="11">
        <f>IF(AND(ISNUMBER(D160),ISNUMBER(E160)),E160-D160,"")</f>
        <v/>
      </c>
      <c r="G160" s="7" t="n"/>
      <c r="H160" s="7" t="n"/>
      <c r="I160" s="7" t="n"/>
      <c r="J160" s="7" t="n"/>
      <c r="K160" s="7">
        <f>IF(COUNT(H160:J160)&gt;0,SUM(H160:J160),"")</f>
        <v/>
      </c>
      <c r="L160" s="8">
        <f>IF(AND(ISNUMBER(K160),ISNUMBER(E160),E160&gt;0),K160/E160,"")</f>
        <v/>
      </c>
      <c r="M160" s="7" t="n"/>
      <c r="N160" s="10" t="n"/>
      <c r="O160" s="1" t="n"/>
    </row>
    <row r="161" ht="15" customHeight="1" s="22">
      <c r="A161" s="1" t="n"/>
      <c r="B161" s="12" t="n"/>
      <c r="C161" s="10" t="n"/>
      <c r="D161" s="7" t="n"/>
      <c r="E161" s="7" t="n"/>
      <c r="F161" s="11">
        <f>IF(AND(ISNUMBER(D161),ISNUMBER(E161)),E161-D161,"")</f>
        <v/>
      </c>
      <c r="G161" s="7" t="n"/>
      <c r="H161" s="7" t="n"/>
      <c r="I161" s="7" t="n"/>
      <c r="J161" s="7" t="n"/>
      <c r="K161" s="7">
        <f>IF(COUNT(H161:J161)&gt;0,SUM(H161:J161),"")</f>
        <v/>
      </c>
      <c r="L161" s="8">
        <f>IF(AND(ISNUMBER(K161),ISNUMBER(E161),E161&gt;0),K161/E161,"")</f>
        <v/>
      </c>
      <c r="M161" s="7" t="n"/>
      <c r="N161" s="10" t="n"/>
      <c r="O161" s="1" t="n"/>
    </row>
    <row r="162" ht="15" customHeight="1" s="22">
      <c r="A162" s="1" t="n"/>
      <c r="B162" s="12" t="n"/>
      <c r="C162" s="10" t="n"/>
      <c r="D162" s="7" t="n"/>
      <c r="E162" s="7" t="n"/>
      <c r="F162" s="11">
        <f>IF(AND(ISNUMBER(D162),ISNUMBER(E162)),E162-D162,"")</f>
        <v/>
      </c>
      <c r="G162" s="7" t="n"/>
      <c r="H162" s="7" t="n"/>
      <c r="I162" s="7" t="n"/>
      <c r="J162" s="7" t="n"/>
      <c r="K162" s="7">
        <f>IF(COUNT(H162:J162)&gt;0,SUM(H162:J162),"")</f>
        <v/>
      </c>
      <c r="L162" s="8">
        <f>IF(AND(ISNUMBER(K162),ISNUMBER(E162),E162&gt;0),K162/E162,"")</f>
        <v/>
      </c>
      <c r="M162" s="7" t="n"/>
      <c r="N162" s="10" t="n"/>
      <c r="O162" s="1" t="n"/>
    </row>
    <row r="163" ht="15" customHeight="1" s="22">
      <c r="A163" s="1" t="n"/>
      <c r="B163" s="12" t="n"/>
      <c r="C163" s="10" t="n"/>
      <c r="D163" s="7" t="n"/>
      <c r="E163" s="7" t="n"/>
      <c r="F163" s="11">
        <f>IF(AND(ISNUMBER(D163),ISNUMBER(E163)),E163-D163,"")</f>
        <v/>
      </c>
      <c r="G163" s="7" t="n"/>
      <c r="H163" s="7" t="n"/>
      <c r="I163" s="7" t="n"/>
      <c r="J163" s="7" t="n"/>
      <c r="K163" s="7">
        <f>IF(COUNT(H163:J163)&gt;0,SUM(H163:J163),"")</f>
        <v/>
      </c>
      <c r="L163" s="8">
        <f>IF(AND(ISNUMBER(K163),ISNUMBER(E163),E163&gt;0),K163/E163,"")</f>
        <v/>
      </c>
      <c r="M163" s="7" t="n"/>
      <c r="N163" s="10" t="n"/>
      <c r="O163" s="1" t="n"/>
    </row>
    <row r="164" ht="15" customHeight="1" s="22">
      <c r="A164" s="1" t="n"/>
      <c r="B164" s="12" t="n"/>
      <c r="C164" s="10" t="n"/>
      <c r="D164" s="7" t="n"/>
      <c r="E164" s="7" t="n"/>
      <c r="F164" s="11">
        <f>IF(AND(ISNUMBER(D164),ISNUMBER(E164)),E164-D164,"")</f>
        <v/>
      </c>
      <c r="G164" s="7" t="n"/>
      <c r="H164" s="7" t="n"/>
      <c r="I164" s="7" t="n"/>
      <c r="J164" s="7" t="n"/>
      <c r="K164" s="7">
        <f>IF(COUNT(H164:J164)&gt;0,SUM(H164:J164),"")</f>
        <v/>
      </c>
      <c r="L164" s="8">
        <f>IF(AND(ISNUMBER(K164),ISNUMBER(E164),E164&gt;0),K164/E164,"")</f>
        <v/>
      </c>
      <c r="M164" s="7" t="n"/>
      <c r="N164" s="10" t="n"/>
      <c r="O164" s="1" t="n"/>
    </row>
    <row r="165" ht="15" customHeight="1" s="22">
      <c r="A165" s="1" t="n"/>
      <c r="B165" s="12" t="n"/>
      <c r="C165" s="10" t="n"/>
      <c r="D165" s="7" t="n"/>
      <c r="E165" s="7" t="n"/>
      <c r="F165" s="11">
        <f>IF(AND(ISNUMBER(D165),ISNUMBER(E165)),E165-D165,"")</f>
        <v/>
      </c>
      <c r="G165" s="7" t="n"/>
      <c r="H165" s="7" t="n"/>
      <c r="I165" s="7" t="n"/>
      <c r="J165" s="7" t="n"/>
      <c r="K165" s="7">
        <f>IF(COUNT(H165:J165)&gt;0,SUM(H165:J165),"")</f>
        <v/>
      </c>
      <c r="L165" s="8">
        <f>IF(AND(ISNUMBER(K165),ISNUMBER(E165),E165&gt;0),K165/E165,"")</f>
        <v/>
      </c>
      <c r="M165" s="7" t="n"/>
      <c r="N165" s="10" t="n"/>
      <c r="O165" s="1" t="n"/>
    </row>
    <row r="166" ht="15" customHeight="1" s="22">
      <c r="A166" s="1" t="n"/>
      <c r="B166" s="12" t="n"/>
      <c r="C166" s="10" t="n"/>
      <c r="D166" s="7" t="n"/>
      <c r="E166" s="7" t="n"/>
      <c r="F166" s="11">
        <f>IF(AND(ISNUMBER(D166),ISNUMBER(E166)),E166-D166,"")</f>
        <v/>
      </c>
      <c r="G166" s="7" t="n"/>
      <c r="H166" s="7" t="n"/>
      <c r="I166" s="7" t="n"/>
      <c r="J166" s="7" t="n"/>
      <c r="K166" s="7">
        <f>IF(COUNT(H166:J166)&gt;0,SUM(H166:J166),"")</f>
        <v/>
      </c>
      <c r="L166" s="8">
        <f>IF(AND(ISNUMBER(K166),ISNUMBER(E166),E166&gt;0),K166/E166,"")</f>
        <v/>
      </c>
      <c r="M166" s="7" t="n"/>
      <c r="N166" s="10" t="n"/>
      <c r="O166" s="1" t="n"/>
    </row>
    <row r="167" ht="15" customHeight="1" s="22">
      <c r="A167" s="1" t="n"/>
      <c r="B167" s="12" t="n"/>
      <c r="C167" s="10" t="n"/>
      <c r="D167" s="7" t="n"/>
      <c r="E167" s="7" t="n"/>
      <c r="F167" s="11">
        <f>IF(AND(ISNUMBER(D167),ISNUMBER(E167)),E167-D167,"")</f>
        <v/>
      </c>
      <c r="G167" s="7" t="n"/>
      <c r="H167" s="7" t="n"/>
      <c r="I167" s="7" t="n"/>
      <c r="J167" s="7" t="n"/>
      <c r="K167" s="7">
        <f>IF(COUNT(H167:J167)&gt;0,SUM(H167:J167),"")</f>
        <v/>
      </c>
      <c r="L167" s="8">
        <f>IF(AND(ISNUMBER(K167),ISNUMBER(E167),E167&gt;0),K167/E167,"")</f>
        <v/>
      </c>
      <c r="M167" s="7" t="n"/>
      <c r="N167" s="10" t="n"/>
      <c r="O167" s="1" t="n"/>
    </row>
    <row r="168" ht="15" customHeight="1" s="22">
      <c r="A168" s="1" t="n"/>
      <c r="B168" s="12" t="n"/>
      <c r="C168" s="10" t="n"/>
      <c r="D168" s="7" t="n"/>
      <c r="E168" s="7" t="n"/>
      <c r="F168" s="11">
        <f>IF(AND(ISNUMBER(D168),ISNUMBER(E168)),E168-D168,"")</f>
        <v/>
      </c>
      <c r="G168" s="7" t="n"/>
      <c r="H168" s="7" t="n"/>
      <c r="I168" s="7" t="n"/>
      <c r="J168" s="7" t="n"/>
      <c r="K168" s="7">
        <f>IF(COUNT(H168:J168)&gt;0,SUM(H168:J168),"")</f>
        <v/>
      </c>
      <c r="L168" s="8">
        <f>IF(AND(ISNUMBER(K168),ISNUMBER(E168),E168&gt;0),K168/E168,"")</f>
        <v/>
      </c>
      <c r="M168" s="7" t="n"/>
      <c r="N168" s="10" t="n"/>
      <c r="O168" s="1" t="n"/>
    </row>
    <row r="169" ht="15" customHeight="1" s="22">
      <c r="A169" s="1" t="n"/>
      <c r="B169" s="12" t="n"/>
      <c r="C169" s="10" t="n"/>
      <c r="D169" s="7" t="n"/>
      <c r="E169" s="7" t="n"/>
      <c r="F169" s="11">
        <f>IF(AND(ISNUMBER(D169),ISNUMBER(E169)),E169-D169,"")</f>
        <v/>
      </c>
      <c r="G169" s="7" t="n"/>
      <c r="H169" s="7" t="n"/>
      <c r="I169" s="7" t="n"/>
      <c r="J169" s="7" t="n"/>
      <c r="K169" s="7">
        <f>IF(COUNT(H169:J169)&gt;0,SUM(H169:J169),"")</f>
        <v/>
      </c>
      <c r="L169" s="8">
        <f>IF(AND(ISNUMBER(K169),ISNUMBER(E169),E169&gt;0),K169/E169,"")</f>
        <v/>
      </c>
      <c r="M169" s="7" t="n"/>
      <c r="N169" s="10" t="n"/>
      <c r="O169" s="1" t="n"/>
    </row>
    <row r="170" ht="15" customHeight="1" s="22">
      <c r="A170" s="1" t="n"/>
      <c r="B170" s="12" t="n"/>
      <c r="C170" s="10" t="n"/>
      <c r="D170" s="7" t="n"/>
      <c r="E170" s="7" t="n"/>
      <c r="F170" s="11">
        <f>IF(AND(ISNUMBER(D170),ISNUMBER(E170)),E170-D170,"")</f>
        <v/>
      </c>
      <c r="G170" s="7" t="n"/>
      <c r="H170" s="7" t="n"/>
      <c r="I170" s="7" t="n"/>
      <c r="J170" s="7" t="n"/>
      <c r="K170" s="7">
        <f>IF(COUNT(H170:J170)&gt;0,SUM(H170:J170),"")</f>
        <v/>
      </c>
      <c r="L170" s="8">
        <f>IF(AND(ISNUMBER(K170),ISNUMBER(E170),E170&gt;0),K170/E170,"")</f>
        <v/>
      </c>
      <c r="M170" s="7" t="n"/>
      <c r="N170" s="10" t="n"/>
      <c r="O170" s="1" t="n"/>
    </row>
    <row r="171" ht="15" customHeight="1" s="22">
      <c r="A171" s="1" t="n"/>
      <c r="B171" s="12" t="n"/>
      <c r="C171" s="10" t="n"/>
      <c r="D171" s="7" t="n"/>
      <c r="E171" s="7" t="n"/>
      <c r="F171" s="11">
        <f>IF(AND(ISNUMBER(D171),ISNUMBER(E171)),E171-D171,"")</f>
        <v/>
      </c>
      <c r="G171" s="7" t="n"/>
      <c r="H171" s="7" t="n"/>
      <c r="I171" s="7" t="n"/>
      <c r="J171" s="7" t="n"/>
      <c r="K171" s="7">
        <f>IF(COUNT(H171:J171)&gt;0,SUM(H171:J171),"")</f>
        <v/>
      </c>
      <c r="L171" s="8">
        <f>IF(AND(ISNUMBER(K171),ISNUMBER(E171),E171&gt;0),K171/E171,"")</f>
        <v/>
      </c>
      <c r="M171" s="7" t="n"/>
      <c r="N171" s="10" t="n"/>
      <c r="O171" s="1" t="n"/>
    </row>
    <row r="172" ht="15" customHeight="1" s="22">
      <c r="A172" s="1" t="n"/>
      <c r="B172" s="12" t="n"/>
      <c r="C172" s="10" t="n"/>
      <c r="D172" s="7" t="n"/>
      <c r="E172" s="7" t="n"/>
      <c r="F172" s="11">
        <f>IF(AND(ISNUMBER(D172),ISNUMBER(E172)),E172-D172,"")</f>
        <v/>
      </c>
      <c r="G172" s="7" t="n"/>
      <c r="H172" s="7" t="n"/>
      <c r="I172" s="7" t="n"/>
      <c r="J172" s="7" t="n"/>
      <c r="K172" s="7">
        <f>IF(COUNT(H172:J172)&gt;0,SUM(H172:J172),"")</f>
        <v/>
      </c>
      <c r="L172" s="8">
        <f>IF(AND(ISNUMBER(K172),ISNUMBER(E172),E172&gt;0),K172/E172,"")</f>
        <v/>
      </c>
      <c r="M172" s="7" t="n"/>
      <c r="N172" s="10" t="n"/>
      <c r="O172" s="1" t="n"/>
    </row>
    <row r="173" ht="15" customHeight="1" s="22">
      <c r="A173" s="1" t="n"/>
      <c r="B173" s="12" t="n"/>
      <c r="C173" s="10" t="n"/>
      <c r="D173" s="7" t="n"/>
      <c r="E173" s="7" t="n"/>
      <c r="F173" s="11">
        <f>IF(AND(ISNUMBER(D173),ISNUMBER(E173)),E173-D173,"")</f>
        <v/>
      </c>
      <c r="G173" s="7" t="n"/>
      <c r="H173" s="7" t="n"/>
      <c r="I173" s="7" t="n"/>
      <c r="J173" s="7" t="n"/>
      <c r="K173" s="7">
        <f>IF(COUNT(H173:J173)&gt;0,SUM(H173:J173),"")</f>
        <v/>
      </c>
      <c r="L173" s="8">
        <f>IF(AND(ISNUMBER(K173),ISNUMBER(E173),E173&gt;0),K173/E173,"")</f>
        <v/>
      </c>
      <c r="M173" s="7" t="n"/>
      <c r="N173" s="10" t="n"/>
      <c r="O173" s="1" t="n"/>
    </row>
    <row r="174" ht="15" customHeight="1" s="22">
      <c r="A174" s="1" t="n"/>
      <c r="B174" s="12" t="n"/>
      <c r="C174" s="10" t="n"/>
      <c r="D174" s="7" t="n"/>
      <c r="E174" s="7" t="n"/>
      <c r="F174" s="11">
        <f>IF(AND(ISNUMBER(D174),ISNUMBER(E174)),E174-D174,"")</f>
        <v/>
      </c>
      <c r="G174" s="7" t="n"/>
      <c r="H174" s="7" t="n"/>
      <c r="I174" s="7" t="n"/>
      <c r="J174" s="7" t="n"/>
      <c r="K174" s="7">
        <f>IF(COUNT(H174:J174)&gt;0,SUM(H174:J174),"")</f>
        <v/>
      </c>
      <c r="L174" s="8">
        <f>IF(AND(ISNUMBER(K174),ISNUMBER(E174),E174&gt;0),K174/E174,"")</f>
        <v/>
      </c>
      <c r="M174" s="7" t="n"/>
      <c r="N174" s="10" t="n"/>
      <c r="O174" s="1" t="n"/>
    </row>
    <row r="175" ht="15" customHeight="1" s="22">
      <c r="A175" s="1" t="n"/>
      <c r="B175" s="12" t="n"/>
      <c r="C175" s="10" t="n"/>
      <c r="D175" s="7" t="n"/>
      <c r="E175" s="7" t="n"/>
      <c r="F175" s="11">
        <f>IF(AND(ISNUMBER(D175),ISNUMBER(E175)),E175-D175,"")</f>
        <v/>
      </c>
      <c r="G175" s="7" t="n"/>
      <c r="H175" s="7" t="n"/>
      <c r="I175" s="7" t="n"/>
      <c r="J175" s="7" t="n"/>
      <c r="K175" s="7">
        <f>IF(COUNT(H175:J175)&gt;0,SUM(H175:J175),"")</f>
        <v/>
      </c>
      <c r="L175" s="8">
        <f>IF(AND(ISNUMBER(K175),ISNUMBER(E175),E175&gt;0),K175/E175,"")</f>
        <v/>
      </c>
      <c r="M175" s="7" t="n"/>
      <c r="N175" s="10" t="n"/>
      <c r="O175" s="1" t="n"/>
    </row>
    <row r="176" ht="15" customHeight="1" s="22">
      <c r="A176" s="1" t="n"/>
      <c r="B176" s="12" t="n"/>
      <c r="C176" s="10" t="n"/>
      <c r="D176" s="7" t="n"/>
      <c r="E176" s="7" t="n"/>
      <c r="F176" s="11">
        <f>IF(AND(ISNUMBER(D176),ISNUMBER(E176)),E176-D176,"")</f>
        <v/>
      </c>
      <c r="G176" s="7" t="n"/>
      <c r="H176" s="7" t="n"/>
      <c r="I176" s="7" t="n"/>
      <c r="J176" s="7" t="n"/>
      <c r="K176" s="7">
        <f>IF(COUNT(H176:J176)&gt;0,SUM(H176:J176),"")</f>
        <v/>
      </c>
      <c r="L176" s="8">
        <f>IF(AND(ISNUMBER(K176),ISNUMBER(E176),E176&gt;0),K176/E176,"")</f>
        <v/>
      </c>
      <c r="M176" s="7" t="n"/>
      <c r="N176" s="10" t="n"/>
      <c r="O176" s="1" t="n"/>
    </row>
    <row r="177" ht="15" customHeight="1" s="22">
      <c r="A177" s="1" t="n"/>
      <c r="B177" s="12" t="n"/>
      <c r="C177" s="10" t="n"/>
      <c r="D177" s="7" t="n"/>
      <c r="E177" s="7" t="n"/>
      <c r="F177" s="11">
        <f>IF(AND(ISNUMBER(D177),ISNUMBER(E177)),E177-D177,"")</f>
        <v/>
      </c>
      <c r="G177" s="7" t="n"/>
      <c r="H177" s="7" t="n"/>
      <c r="I177" s="7" t="n"/>
      <c r="J177" s="7" t="n"/>
      <c r="K177" s="7">
        <f>IF(COUNT(H177:J177)&gt;0,SUM(H177:J177),"")</f>
        <v/>
      </c>
      <c r="L177" s="8">
        <f>IF(AND(ISNUMBER(K177),ISNUMBER(E177),E177&gt;0),K177/E177,"")</f>
        <v/>
      </c>
      <c r="M177" s="7" t="n"/>
      <c r="N177" s="10" t="n"/>
      <c r="O177" s="1" t="n"/>
    </row>
    <row r="178" ht="15" customHeight="1" s="22">
      <c r="A178" s="1" t="n"/>
      <c r="B178" s="12" t="n"/>
      <c r="C178" s="10" t="n"/>
      <c r="D178" s="7" t="n"/>
      <c r="E178" s="7" t="n"/>
      <c r="F178" s="11">
        <f>IF(AND(ISNUMBER(D178),ISNUMBER(E178)),E178-D178,"")</f>
        <v/>
      </c>
      <c r="G178" s="7" t="n"/>
      <c r="H178" s="7" t="n"/>
      <c r="I178" s="7" t="n"/>
      <c r="J178" s="7" t="n"/>
      <c r="K178" s="7">
        <f>IF(COUNT(H178:J178)&gt;0,SUM(H178:J178),"")</f>
        <v/>
      </c>
      <c r="L178" s="8">
        <f>IF(AND(ISNUMBER(K178),ISNUMBER(E178),E178&gt;0),K178/E178,"")</f>
        <v/>
      </c>
      <c r="M178" s="7" t="n"/>
      <c r="N178" s="10" t="n"/>
      <c r="O178" s="1" t="n"/>
    </row>
    <row r="179" ht="15" customHeight="1" s="22">
      <c r="A179" s="1" t="n"/>
      <c r="B179" s="12" t="n"/>
      <c r="C179" s="10" t="n"/>
      <c r="D179" s="7" t="n"/>
      <c r="E179" s="7" t="n"/>
      <c r="F179" s="11">
        <f>IF(AND(ISNUMBER(D179),ISNUMBER(E179)),E179-D179,"")</f>
        <v/>
      </c>
      <c r="G179" s="7" t="n"/>
      <c r="H179" s="7" t="n"/>
      <c r="I179" s="7" t="n"/>
      <c r="J179" s="7" t="n"/>
      <c r="K179" s="7">
        <f>IF(COUNT(H179:J179)&gt;0,SUM(H179:J179),"")</f>
        <v/>
      </c>
      <c r="L179" s="8">
        <f>IF(AND(ISNUMBER(K179),ISNUMBER(E179),E179&gt;0),K179/E179,"")</f>
        <v/>
      </c>
      <c r="M179" s="7" t="n"/>
      <c r="N179" s="10" t="n"/>
      <c r="O179" s="1" t="n"/>
    </row>
    <row r="180" ht="15" customHeight="1" s="22">
      <c r="A180" s="1" t="n"/>
      <c r="B180" s="12" t="n"/>
      <c r="C180" s="10" t="n"/>
      <c r="D180" s="7" t="n"/>
      <c r="E180" s="7" t="n"/>
      <c r="F180" s="11">
        <f>IF(AND(ISNUMBER(D180),ISNUMBER(E180)),E180-D180,"")</f>
        <v/>
      </c>
      <c r="G180" s="7" t="n"/>
      <c r="H180" s="7" t="n"/>
      <c r="I180" s="7" t="n"/>
      <c r="J180" s="7" t="n"/>
      <c r="K180" s="7">
        <f>IF(COUNT(H180:J180)&gt;0,SUM(H180:J180),"")</f>
        <v/>
      </c>
      <c r="L180" s="8">
        <f>IF(AND(ISNUMBER(K180),ISNUMBER(E180),E180&gt;0),K180/E180,"")</f>
        <v/>
      </c>
      <c r="M180" s="7" t="n"/>
      <c r="N180" s="10" t="n"/>
      <c r="O180" s="1" t="n"/>
    </row>
    <row r="181" ht="15" customHeight="1" s="22">
      <c r="A181" s="1" t="n"/>
      <c r="B181" s="12" t="n"/>
      <c r="C181" s="10" t="n"/>
      <c r="D181" s="7" t="n"/>
      <c r="E181" s="7" t="n"/>
      <c r="F181" s="11">
        <f>IF(AND(ISNUMBER(D181),ISNUMBER(E181)),E181-D181,"")</f>
        <v/>
      </c>
      <c r="G181" s="7" t="n"/>
      <c r="H181" s="7" t="n"/>
      <c r="I181" s="7" t="n"/>
      <c r="J181" s="7" t="n"/>
      <c r="K181" s="7">
        <f>IF(COUNT(H181:J181)&gt;0,SUM(H181:J181),"")</f>
        <v/>
      </c>
      <c r="L181" s="8">
        <f>IF(AND(ISNUMBER(K181),ISNUMBER(E181),E181&gt;0),K181/E181,"")</f>
        <v/>
      </c>
      <c r="M181" s="7" t="n"/>
      <c r="N181" s="10" t="n"/>
      <c r="O181" s="1" t="n"/>
    </row>
    <row r="182" ht="15" customHeight="1" s="22">
      <c r="A182" s="1" t="n"/>
      <c r="B182" s="12" t="n"/>
      <c r="C182" s="10" t="n"/>
      <c r="D182" s="7" t="n"/>
      <c r="E182" s="7" t="n"/>
      <c r="F182" s="11">
        <f>IF(AND(ISNUMBER(D182),ISNUMBER(E182)),E182-D182,"")</f>
        <v/>
      </c>
      <c r="G182" s="7" t="n"/>
      <c r="H182" s="7" t="n"/>
      <c r="I182" s="7" t="n"/>
      <c r="J182" s="7" t="n"/>
      <c r="K182" s="7">
        <f>IF(COUNT(H182:J182)&gt;0,SUM(H182:J182),"")</f>
        <v/>
      </c>
      <c r="L182" s="8">
        <f>IF(AND(ISNUMBER(K182),ISNUMBER(E182),E182&gt;0),K182/E182,"")</f>
        <v/>
      </c>
      <c r="M182" s="7" t="n"/>
      <c r="N182" s="10" t="n"/>
      <c r="O182" s="1" t="n"/>
    </row>
    <row r="183" ht="15" customHeight="1" s="22">
      <c r="A183" s="1" t="n"/>
      <c r="B183" s="12" t="n"/>
      <c r="C183" s="10" t="n"/>
      <c r="D183" s="7" t="n"/>
      <c r="E183" s="7" t="n"/>
      <c r="F183" s="11">
        <f>IF(AND(ISNUMBER(D183),ISNUMBER(E183)),E183-D183,"")</f>
        <v/>
      </c>
      <c r="G183" s="7" t="n"/>
      <c r="H183" s="7" t="n"/>
      <c r="I183" s="7" t="n"/>
      <c r="J183" s="7" t="n"/>
      <c r="K183" s="7">
        <f>IF(COUNT(H183:J183)&gt;0,SUM(H183:J183),"")</f>
        <v/>
      </c>
      <c r="L183" s="8">
        <f>IF(AND(ISNUMBER(K183),ISNUMBER(E183),E183&gt;0),K183/E183,"")</f>
        <v/>
      </c>
      <c r="M183" s="7" t="n"/>
      <c r="N183" s="10" t="n"/>
      <c r="O183" s="1" t="n"/>
    </row>
    <row r="184" ht="15" customHeight="1" s="22">
      <c r="A184" s="1" t="n"/>
      <c r="B184" s="12" t="n"/>
      <c r="C184" s="10" t="n"/>
      <c r="D184" s="7" t="n"/>
      <c r="E184" s="7" t="n"/>
      <c r="F184" s="11">
        <f>IF(AND(ISNUMBER(D184),ISNUMBER(E184)),E184-D184,"")</f>
        <v/>
      </c>
      <c r="G184" s="7" t="n"/>
      <c r="H184" s="7" t="n"/>
      <c r="I184" s="7" t="n"/>
      <c r="J184" s="7" t="n"/>
      <c r="K184" s="7">
        <f>IF(COUNT(H184:J184)&gt;0,SUM(H184:J184),"")</f>
        <v/>
      </c>
      <c r="L184" s="8">
        <f>IF(AND(ISNUMBER(K184),ISNUMBER(E184),E184&gt;0),K184/E184,"")</f>
        <v/>
      </c>
      <c r="M184" s="7" t="n"/>
      <c r="N184" s="10" t="n"/>
      <c r="O184" s="1" t="n"/>
    </row>
    <row r="185" ht="15" customHeight="1" s="22">
      <c r="A185" s="1" t="n"/>
      <c r="B185" s="12" t="n"/>
      <c r="C185" s="10" t="n"/>
      <c r="D185" s="7" t="n"/>
      <c r="E185" s="7" t="n"/>
      <c r="F185" s="11">
        <f>IF(AND(ISNUMBER(D185),ISNUMBER(E185)),E185-D185,"")</f>
        <v/>
      </c>
      <c r="G185" s="7" t="n"/>
      <c r="H185" s="7" t="n"/>
      <c r="I185" s="7" t="n"/>
      <c r="J185" s="7" t="n"/>
      <c r="K185" s="7">
        <f>IF(COUNT(H185:J185)&gt;0,SUM(H185:J185),"")</f>
        <v/>
      </c>
      <c r="L185" s="8">
        <f>IF(AND(ISNUMBER(K185),ISNUMBER(E185),E185&gt;0),K185/E185,"")</f>
        <v/>
      </c>
      <c r="M185" s="7" t="n"/>
      <c r="N185" s="10" t="n"/>
      <c r="O185" s="1" t="n"/>
    </row>
    <row r="186" ht="15" customHeight="1" s="22">
      <c r="A186" s="1" t="n"/>
      <c r="B186" s="12" t="n"/>
      <c r="C186" s="10" t="n"/>
      <c r="D186" s="7" t="n"/>
      <c r="E186" s="7" t="n"/>
      <c r="F186" s="11">
        <f>IF(AND(ISNUMBER(D186),ISNUMBER(E186)),E186-D186,"")</f>
        <v/>
      </c>
      <c r="G186" s="7" t="n"/>
      <c r="H186" s="7" t="n"/>
      <c r="I186" s="7" t="n"/>
      <c r="J186" s="7" t="n"/>
      <c r="K186" s="7">
        <f>IF(COUNT(H186:J186)&gt;0,SUM(H186:J186),"")</f>
        <v/>
      </c>
      <c r="L186" s="8">
        <f>IF(AND(ISNUMBER(K186),ISNUMBER(E186),E186&gt;0),K186/E186,"")</f>
        <v/>
      </c>
      <c r="M186" s="7" t="n"/>
      <c r="N186" s="10" t="n"/>
      <c r="O186" s="1" t="n"/>
    </row>
    <row r="187" ht="15" customHeight="1" s="22">
      <c r="A187" s="1" t="n"/>
      <c r="B187" s="12" t="n"/>
      <c r="C187" s="10" t="n"/>
      <c r="D187" s="7" t="n"/>
      <c r="E187" s="7" t="n"/>
      <c r="F187" s="11">
        <f>IF(AND(ISNUMBER(D187),ISNUMBER(E187)),E187-D187,"")</f>
        <v/>
      </c>
      <c r="G187" s="7" t="n"/>
      <c r="H187" s="7" t="n"/>
      <c r="I187" s="7" t="n"/>
      <c r="J187" s="7" t="n"/>
      <c r="K187" s="7">
        <f>IF(COUNT(H187:J187)&gt;0,SUM(H187:J187),"")</f>
        <v/>
      </c>
      <c r="L187" s="8">
        <f>IF(AND(ISNUMBER(K187),ISNUMBER(E187),E187&gt;0),K187/E187,"")</f>
        <v/>
      </c>
      <c r="M187" s="7" t="n"/>
      <c r="N187" s="10" t="n"/>
      <c r="O187" s="1" t="n"/>
    </row>
    <row r="188" ht="15" customHeight="1" s="22">
      <c r="A188" s="1" t="n"/>
      <c r="B188" s="12" t="n"/>
      <c r="C188" s="10" t="n"/>
      <c r="D188" s="7" t="n"/>
      <c r="E188" s="7" t="n"/>
      <c r="F188" s="11">
        <f>IF(AND(ISNUMBER(D188),ISNUMBER(E188)),E188-D188,"")</f>
        <v/>
      </c>
      <c r="G188" s="7" t="n"/>
      <c r="H188" s="7" t="n"/>
      <c r="I188" s="7" t="n"/>
      <c r="J188" s="7" t="n"/>
      <c r="K188" s="7">
        <f>IF(COUNT(H188:J188)&gt;0,SUM(H188:J188),"")</f>
        <v/>
      </c>
      <c r="L188" s="8">
        <f>IF(AND(ISNUMBER(K188),ISNUMBER(E188),E188&gt;0),K188/E188,"")</f>
        <v/>
      </c>
      <c r="M188" s="7" t="n"/>
      <c r="N188" s="10" t="n"/>
      <c r="O188" s="1" t="n"/>
    </row>
    <row r="189" ht="15" customHeight="1" s="22">
      <c r="A189" s="1" t="n"/>
      <c r="B189" s="12" t="n"/>
      <c r="C189" s="10" t="n"/>
      <c r="D189" s="7" t="n"/>
      <c r="E189" s="7" t="n"/>
      <c r="F189" s="11">
        <f>IF(AND(ISNUMBER(D189),ISNUMBER(E189)),E189-D189,"")</f>
        <v/>
      </c>
      <c r="G189" s="7" t="n"/>
      <c r="H189" s="7" t="n"/>
      <c r="I189" s="7" t="n"/>
      <c r="J189" s="7" t="n"/>
      <c r="K189" s="7">
        <f>IF(COUNT(H189:J189)&gt;0,SUM(H189:J189),"")</f>
        <v/>
      </c>
      <c r="L189" s="8">
        <f>IF(AND(ISNUMBER(K189),ISNUMBER(E189),E189&gt;0),K189/E189,"")</f>
        <v/>
      </c>
      <c r="M189" s="7" t="n"/>
      <c r="N189" s="10" t="n"/>
      <c r="O189" s="1" t="n"/>
    </row>
    <row r="190" ht="15" customHeight="1" s="22">
      <c r="A190" s="1" t="n"/>
      <c r="B190" s="12" t="n"/>
      <c r="C190" s="10" t="n"/>
      <c r="D190" s="7" t="n"/>
      <c r="E190" s="7" t="n"/>
      <c r="F190" s="11">
        <f>IF(AND(ISNUMBER(D190),ISNUMBER(E190)),E190-D190,"")</f>
        <v/>
      </c>
      <c r="G190" s="7" t="n"/>
      <c r="H190" s="7" t="n"/>
      <c r="I190" s="7" t="n"/>
      <c r="J190" s="7" t="n"/>
      <c r="K190" s="7">
        <f>IF(COUNT(H190:J190)&gt;0,SUM(H190:J190),"")</f>
        <v/>
      </c>
      <c r="L190" s="8">
        <f>IF(AND(ISNUMBER(K190),ISNUMBER(E190),E190&gt;0),K190/E190,"")</f>
        <v/>
      </c>
      <c r="M190" s="7" t="n"/>
      <c r="N190" s="10" t="n"/>
      <c r="O190" s="1" t="n"/>
    </row>
    <row r="191" ht="15" customHeight="1" s="22">
      <c r="A191" s="1" t="n"/>
      <c r="B191" s="12" t="n"/>
      <c r="C191" s="10" t="n"/>
      <c r="D191" s="7" t="n"/>
      <c r="E191" s="7" t="n"/>
      <c r="F191" s="11">
        <f>IF(AND(ISNUMBER(D191),ISNUMBER(E191)),E191-D191,"")</f>
        <v/>
      </c>
      <c r="G191" s="7" t="n"/>
      <c r="H191" s="7" t="n"/>
      <c r="I191" s="7" t="n"/>
      <c r="J191" s="7" t="n"/>
      <c r="K191" s="7">
        <f>IF(COUNT(H191:J191)&gt;0,SUM(H191:J191),"")</f>
        <v/>
      </c>
      <c r="L191" s="8">
        <f>IF(AND(ISNUMBER(K191),ISNUMBER(E191),E191&gt;0),K191/E191,"")</f>
        <v/>
      </c>
      <c r="M191" s="7" t="n"/>
      <c r="N191" s="10" t="n"/>
      <c r="O191" s="1" t="n"/>
    </row>
    <row r="192" ht="15" customHeight="1" s="22">
      <c r="A192" s="1" t="n"/>
      <c r="B192" s="12" t="n"/>
      <c r="C192" s="10" t="n"/>
      <c r="D192" s="7" t="n"/>
      <c r="E192" s="7" t="n"/>
      <c r="F192" s="11">
        <f>IF(AND(ISNUMBER(D192),ISNUMBER(E192)),E192-D192,"")</f>
        <v/>
      </c>
      <c r="G192" s="7" t="n"/>
      <c r="H192" s="7" t="n"/>
      <c r="I192" s="7" t="n"/>
      <c r="J192" s="7" t="n"/>
      <c r="K192" s="7">
        <f>IF(COUNT(H192:J192)&gt;0,SUM(H192:J192),"")</f>
        <v/>
      </c>
      <c r="L192" s="8">
        <f>IF(AND(ISNUMBER(K192),ISNUMBER(E192),E192&gt;0),K192/E192,"")</f>
        <v/>
      </c>
      <c r="M192" s="7" t="n"/>
      <c r="N192" s="10" t="n"/>
      <c r="O192" s="1" t="n"/>
    </row>
    <row r="193" ht="15" customHeight="1" s="22">
      <c r="A193" s="1" t="n"/>
      <c r="B193" s="12" t="n"/>
      <c r="C193" s="10" t="n"/>
      <c r="D193" s="7" t="n"/>
      <c r="E193" s="7" t="n"/>
      <c r="F193" s="11">
        <f>IF(AND(ISNUMBER(D193),ISNUMBER(E193)),E193-D193,"")</f>
        <v/>
      </c>
      <c r="G193" s="7" t="n"/>
      <c r="H193" s="7" t="n"/>
      <c r="I193" s="7" t="n"/>
      <c r="J193" s="7" t="n"/>
      <c r="K193" s="7">
        <f>IF(COUNT(H193:J193)&gt;0,SUM(H193:J193),"")</f>
        <v/>
      </c>
      <c r="L193" s="8">
        <f>IF(AND(ISNUMBER(K193),ISNUMBER(E193),E193&gt;0),K193/E193,"")</f>
        <v/>
      </c>
      <c r="M193" s="7" t="n"/>
      <c r="N193" s="10" t="n"/>
      <c r="O193" s="1" t="n"/>
    </row>
    <row r="194" ht="15" customHeight="1" s="22">
      <c r="A194" s="1" t="n"/>
      <c r="B194" s="12" t="n"/>
      <c r="C194" s="10" t="n"/>
      <c r="D194" s="7" t="n"/>
      <c r="E194" s="7" t="n"/>
      <c r="F194" s="11">
        <f>IF(AND(ISNUMBER(D194),ISNUMBER(E194)),E194-D194,"")</f>
        <v/>
      </c>
      <c r="G194" s="7" t="n"/>
      <c r="H194" s="7" t="n"/>
      <c r="I194" s="7" t="n"/>
      <c r="J194" s="7" t="n"/>
      <c r="K194" s="7">
        <f>IF(COUNT(H194:J194)&gt;0,SUM(H194:J194),"")</f>
        <v/>
      </c>
      <c r="L194" s="8">
        <f>IF(AND(ISNUMBER(K194),ISNUMBER(E194),E194&gt;0),K194/E194,"")</f>
        <v/>
      </c>
      <c r="M194" s="7" t="n"/>
      <c r="N194" s="10" t="n"/>
      <c r="O194" s="1" t="n"/>
    </row>
    <row r="195" ht="15" customHeight="1" s="22">
      <c r="A195" s="1" t="n"/>
      <c r="B195" s="12" t="n"/>
      <c r="C195" s="10" t="n"/>
      <c r="D195" s="7" t="n"/>
      <c r="E195" s="7" t="n"/>
      <c r="F195" s="11">
        <f>IF(AND(ISNUMBER(D195),ISNUMBER(E195)),E195-D195,"")</f>
        <v/>
      </c>
      <c r="G195" s="7" t="n"/>
      <c r="H195" s="7" t="n"/>
      <c r="I195" s="7" t="n"/>
      <c r="J195" s="7" t="n"/>
      <c r="K195" s="7">
        <f>IF(COUNT(H195:J195)&gt;0,SUM(H195:J195),"")</f>
        <v/>
      </c>
      <c r="L195" s="8">
        <f>IF(AND(ISNUMBER(K195),ISNUMBER(E195),E195&gt;0),K195/E195,"")</f>
        <v/>
      </c>
      <c r="M195" s="7" t="n"/>
      <c r="N195" s="10" t="n"/>
      <c r="O195" s="1" t="n"/>
    </row>
    <row r="196" ht="15" customHeight="1" s="22">
      <c r="A196" s="1" t="n"/>
      <c r="B196" s="12" t="n"/>
      <c r="C196" s="10" t="n"/>
      <c r="D196" s="7" t="n"/>
      <c r="E196" s="7" t="n"/>
      <c r="F196" s="11">
        <f>IF(AND(ISNUMBER(D196),ISNUMBER(E196)),E196-D196,"")</f>
        <v/>
      </c>
      <c r="G196" s="7" t="n"/>
      <c r="H196" s="7" t="n"/>
      <c r="I196" s="7" t="n"/>
      <c r="J196" s="7" t="n"/>
      <c r="K196" s="7">
        <f>IF(COUNT(H196:J196)&gt;0,SUM(H196:J196),"")</f>
        <v/>
      </c>
      <c r="L196" s="8">
        <f>IF(AND(ISNUMBER(K196),ISNUMBER(E196),E196&gt;0),K196/E196,"")</f>
        <v/>
      </c>
      <c r="M196" s="7" t="n"/>
      <c r="N196" s="10" t="n"/>
      <c r="O196" s="1" t="n"/>
    </row>
    <row r="197" ht="15" customHeight="1" s="22">
      <c r="A197" s="1" t="n"/>
      <c r="B197" s="12" t="n"/>
      <c r="C197" s="10" t="n"/>
      <c r="D197" s="7" t="n"/>
      <c r="E197" s="7" t="n"/>
      <c r="F197" s="11">
        <f>IF(AND(ISNUMBER(D197),ISNUMBER(E197)),E197-D197,"")</f>
        <v/>
      </c>
      <c r="G197" s="7" t="n"/>
      <c r="H197" s="7" t="n"/>
      <c r="I197" s="7" t="n"/>
      <c r="J197" s="7" t="n"/>
      <c r="K197" s="7">
        <f>IF(COUNT(H197:J197)&gt;0,SUM(H197:J197),"")</f>
        <v/>
      </c>
      <c r="L197" s="8">
        <f>IF(AND(ISNUMBER(K197),ISNUMBER(E197),E197&gt;0),K197/E197,"")</f>
        <v/>
      </c>
      <c r="M197" s="7" t="n"/>
      <c r="N197" s="10" t="n"/>
      <c r="O197" s="1" t="n"/>
    </row>
    <row r="198" ht="15" customHeight="1" s="22">
      <c r="A198" s="1" t="n"/>
      <c r="B198" s="12" t="n"/>
      <c r="C198" s="10" t="n"/>
      <c r="D198" s="7" t="n"/>
      <c r="E198" s="7" t="n"/>
      <c r="F198" s="11">
        <f>IF(AND(ISNUMBER(D198),ISNUMBER(E198)),E198-D198,"")</f>
        <v/>
      </c>
      <c r="G198" s="7" t="n"/>
      <c r="H198" s="7" t="n"/>
      <c r="I198" s="7" t="n"/>
      <c r="J198" s="7" t="n"/>
      <c r="K198" s="7">
        <f>IF(COUNT(H198:J198)&gt;0,SUM(H198:J198),"")</f>
        <v/>
      </c>
      <c r="L198" s="8">
        <f>IF(AND(ISNUMBER(K198),ISNUMBER(E198),E198&gt;0),K198/E198,"")</f>
        <v/>
      </c>
      <c r="M198" s="7" t="n"/>
      <c r="N198" s="10" t="n"/>
      <c r="O198" s="1" t="n"/>
    </row>
    <row r="199" ht="15" customHeight="1" s="22">
      <c r="A199" s="1" t="n"/>
      <c r="B199" s="12" t="n"/>
      <c r="C199" s="10" t="n"/>
      <c r="D199" s="7" t="n"/>
      <c r="E199" s="7" t="n"/>
      <c r="F199" s="11">
        <f>IF(AND(ISNUMBER(D199),ISNUMBER(E199)),E199-D199,"")</f>
        <v/>
      </c>
      <c r="G199" s="7" t="n"/>
      <c r="H199" s="7" t="n"/>
      <c r="I199" s="7" t="n"/>
      <c r="J199" s="7" t="n"/>
      <c r="K199" s="7">
        <f>IF(COUNT(H199:J199)&gt;0,SUM(H199:J199),"")</f>
        <v/>
      </c>
      <c r="L199" s="8">
        <f>IF(AND(ISNUMBER(K199),ISNUMBER(E199),E199&gt;0),K199/E199,"")</f>
        <v/>
      </c>
      <c r="M199" s="7" t="n"/>
      <c r="N199" s="10" t="n"/>
      <c r="O199" s="1" t="n"/>
    </row>
    <row r="200" ht="15" customHeight="1" s="22">
      <c r="A200" s="1" t="n"/>
      <c r="B200" s="12" t="n"/>
      <c r="C200" s="10" t="n"/>
      <c r="D200" s="7" t="n"/>
      <c r="E200" s="7" t="n"/>
      <c r="F200" s="11">
        <f>IF(AND(ISNUMBER(D200),ISNUMBER(E200)),E200-D200,"")</f>
        <v/>
      </c>
      <c r="G200" s="7" t="n"/>
      <c r="H200" s="7" t="n"/>
      <c r="I200" s="7" t="n"/>
      <c r="J200" s="7" t="n"/>
      <c r="K200" s="7">
        <f>IF(COUNT(H200:J200)&gt;0,SUM(H200:J200),"")</f>
        <v/>
      </c>
      <c r="L200" s="8">
        <f>IF(AND(ISNUMBER(K200),ISNUMBER(E200),E200&gt;0),K200/E200,"")</f>
        <v/>
      </c>
      <c r="M200" s="7" t="n"/>
      <c r="N200" s="10" t="n"/>
      <c r="O200" s="1" t="n"/>
    </row>
    <row r="201" ht="15" customHeight="1" s="2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</row>
    <row r="202" ht="15" customHeight="1" s="2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 ht="15" customHeight="1" s="2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</row>
    <row r="204" ht="15" customHeight="1" s="2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</row>
    <row r="205" ht="15" customHeight="1" s="2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</row>
    <row r="206" ht="15" customHeight="1" s="2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</row>
    <row r="207" ht="15" customHeight="1" s="2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</row>
    <row r="208" ht="15" customHeight="1" s="2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</row>
    <row r="209" ht="15" customHeight="1" s="2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</row>
    <row r="210" ht="15" customHeight="1" s="2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</row>
  </sheetData>
  <autoFilter ref="B5:N200"/>
  <dataValidations count="1">
    <dataValidation sqref="C6:C200" showDropDown="0" showInputMessage="0" showErrorMessage="0" allowBlank="1" type="list">
      <formula1>"Instagram,TikTok,YouTube,X (Twitter),Facebook,LinkedIn,Threads,Pinterest"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style="22" min="1" max="1"/>
    <col width="16" customWidth="1" style="22" min="2" max="4"/>
    <col width="14" customWidth="1" style="22" min="5" max="5"/>
    <col width="16" customWidth="1" style="22" min="6" max="6"/>
    <col width="14" customWidth="1" style="22" min="7" max="7"/>
    <col width="16" customWidth="1" style="22" min="8" max="8"/>
    <col width="14" customWidth="1" style="22" min="9" max="9"/>
  </cols>
  <sheetData>
    <row r="1" ht="15" customHeight="1" s="2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1.75" customHeight="1" s="22">
      <c r="A2" s="1" t="n"/>
      <c r="B2" s="2" t="inlineStr">
        <is>
          <t>Platform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5" customHeight="1" s="22">
      <c r="A3" s="1" t="n"/>
      <c r="B3" s="3" t="inlineStr">
        <is>
          <t>Auto-aggregated from the Weekly Tracker. Latest week values per platform.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34.5" customHeight="1" s="22">
      <c r="A4" s="1" t="n"/>
      <c r="B4" s="9" t="inlineStr">
        <is>
          <t>Platform</t>
        </is>
      </c>
      <c r="C4" s="9" t="inlineStr">
        <is>
          <t>Latest Followers</t>
        </is>
      </c>
      <c r="D4" s="9" t="inlineStr">
        <is>
          <t>Followers (Prev Week)</t>
        </is>
      </c>
      <c r="E4" s="9" t="inlineStr">
        <is>
          <t>New Followers</t>
        </is>
      </c>
      <c r="F4" s="9" t="inlineStr">
        <is>
          <t>Engagement Rate</t>
        </is>
      </c>
      <c r="G4" s="9" t="inlineStr">
        <is>
          <t>Total Shares</t>
        </is>
      </c>
      <c r="H4" s="9" t="inlineStr">
        <is>
          <t>Total Engagements</t>
        </is>
      </c>
      <c r="I4" s="9" t="inlineStr">
        <is>
          <t>Posts</t>
        </is>
      </c>
      <c r="J4" s="1" t="n"/>
    </row>
    <row r="5" ht="15" customHeight="1" s="22">
      <c r="A5" s="1" t="n"/>
      <c r="B5" s="10" t="inlineStr">
        <is>
          <t>Instagram</t>
        </is>
      </c>
      <c r="C5" s="7">
        <f>IFERROR(LOOKUP(2,1/('Weekly Tracker'!C6:C200=B5)/ISNUMBER('Weekly Tracker'!E6:E200),'Weekly Tracker'!E6:E200),0)</f>
        <v/>
      </c>
      <c r="D5" s="7">
        <f>IFERROR(LOOKUP(2,1/('Weekly Tracker'!C6:C200=B5)/ISNUMBER('Weekly Tracker'!D6:D200),'Weekly Tracker'!D6:D200),0)</f>
        <v/>
      </c>
      <c r="E5" s="11">
        <f>C5-D5</f>
        <v/>
      </c>
      <c r="F5" s="8">
        <f>IFERROR(AVERAGEIFS('Weekly Tracker'!L6:L200,'Weekly Tracker'!C6:C200,B5),"")</f>
        <v/>
      </c>
      <c r="G5" s="7">
        <f>IFERROR(SUMIFS('Weekly Tracker'!I6:I200,'Weekly Tracker'!C6:C200,B5),0)</f>
        <v/>
      </c>
      <c r="H5" s="7">
        <f>IFERROR(SUMIFS('Weekly Tracker'!K6:K200,'Weekly Tracker'!C6:C200,B5),0)</f>
        <v/>
      </c>
      <c r="I5" s="7">
        <f>IFERROR(SUMIFS('Weekly Tracker'!G6:G200,'Weekly Tracker'!C6:C200,B5),0)</f>
        <v/>
      </c>
      <c r="J5" s="1" t="n"/>
    </row>
    <row r="6" ht="15" customHeight="1" s="22">
      <c r="A6" s="1" t="n"/>
      <c r="B6" s="10" t="inlineStr">
        <is>
          <t>TikTok</t>
        </is>
      </c>
      <c r="C6" s="7">
        <f>IFERROR(LOOKUP(2,1/('Weekly Tracker'!C6:C200=B6)/ISNUMBER('Weekly Tracker'!E6:E200),'Weekly Tracker'!E6:E200),0)</f>
        <v/>
      </c>
      <c r="D6" s="7">
        <f>IFERROR(LOOKUP(2,1/('Weekly Tracker'!C6:C200=B6)/ISNUMBER('Weekly Tracker'!D6:D200),'Weekly Tracker'!D6:D200),0)</f>
        <v/>
      </c>
      <c r="E6" s="11">
        <f>C6-D6</f>
        <v/>
      </c>
      <c r="F6" s="8">
        <f>IFERROR(AVERAGEIFS('Weekly Tracker'!L6:L200,'Weekly Tracker'!C6:C200,B6),"")</f>
        <v/>
      </c>
      <c r="G6" s="7">
        <f>IFERROR(SUMIFS('Weekly Tracker'!I6:I200,'Weekly Tracker'!C6:C200,B6),0)</f>
        <v/>
      </c>
      <c r="H6" s="7">
        <f>IFERROR(SUMIFS('Weekly Tracker'!K6:K200,'Weekly Tracker'!C6:C200,B6),0)</f>
        <v/>
      </c>
      <c r="I6" s="7">
        <f>IFERROR(SUMIFS('Weekly Tracker'!G6:G200,'Weekly Tracker'!C6:C200,B6),0)</f>
        <v/>
      </c>
      <c r="J6" s="1" t="n"/>
    </row>
    <row r="7" ht="15" customHeight="1" s="22">
      <c r="A7" s="1" t="n"/>
      <c r="B7" s="10" t="inlineStr">
        <is>
          <t>YouTube</t>
        </is>
      </c>
      <c r="C7" s="7">
        <f>IFERROR(LOOKUP(2,1/('Weekly Tracker'!C6:C200=B7)/ISNUMBER('Weekly Tracker'!E6:E200),'Weekly Tracker'!E6:E200),0)</f>
        <v/>
      </c>
      <c r="D7" s="7">
        <f>IFERROR(LOOKUP(2,1/('Weekly Tracker'!C6:C200=B7)/ISNUMBER('Weekly Tracker'!D6:D200),'Weekly Tracker'!D6:D200),0)</f>
        <v/>
      </c>
      <c r="E7" s="11">
        <f>C7-D7</f>
        <v/>
      </c>
      <c r="F7" s="8">
        <f>IFERROR(AVERAGEIFS('Weekly Tracker'!L6:L200,'Weekly Tracker'!C6:C200,B7),"")</f>
        <v/>
      </c>
      <c r="G7" s="7">
        <f>IFERROR(SUMIFS('Weekly Tracker'!I6:I200,'Weekly Tracker'!C6:C200,B7),0)</f>
        <v/>
      </c>
      <c r="H7" s="7">
        <f>IFERROR(SUMIFS('Weekly Tracker'!K6:K200,'Weekly Tracker'!C6:C200,B7),0)</f>
        <v/>
      </c>
      <c r="I7" s="7">
        <f>IFERROR(SUMIFS('Weekly Tracker'!G6:G200,'Weekly Tracker'!C6:C200,B7),0)</f>
        <v/>
      </c>
      <c r="J7" s="1" t="n"/>
    </row>
    <row r="8" ht="15" customHeight="1" s="22">
      <c r="A8" s="1" t="n"/>
      <c r="B8" s="10" t="inlineStr">
        <is>
          <t>X (Twitter)</t>
        </is>
      </c>
      <c r="C8" s="7">
        <f>IFERROR(LOOKUP(2,1/('Weekly Tracker'!C6:C200=B8)/ISNUMBER('Weekly Tracker'!E6:E200),'Weekly Tracker'!E6:E200),0)</f>
        <v/>
      </c>
      <c r="D8" s="7">
        <f>IFERROR(LOOKUP(2,1/('Weekly Tracker'!C6:C200=B8)/ISNUMBER('Weekly Tracker'!D6:D200),'Weekly Tracker'!D6:D200),0)</f>
        <v/>
      </c>
      <c r="E8" s="11">
        <f>C8-D8</f>
        <v/>
      </c>
      <c r="F8" s="8">
        <f>IFERROR(AVERAGEIFS('Weekly Tracker'!L6:L200,'Weekly Tracker'!C6:C200,B8),"")</f>
        <v/>
      </c>
      <c r="G8" s="7">
        <f>IFERROR(SUMIFS('Weekly Tracker'!I6:I200,'Weekly Tracker'!C6:C200,B8),0)</f>
        <v/>
      </c>
      <c r="H8" s="7">
        <f>IFERROR(SUMIFS('Weekly Tracker'!K6:K200,'Weekly Tracker'!C6:C200,B8),0)</f>
        <v/>
      </c>
      <c r="I8" s="7">
        <f>IFERROR(SUMIFS('Weekly Tracker'!G6:G200,'Weekly Tracker'!C6:C200,B8),0)</f>
        <v/>
      </c>
      <c r="J8" s="1" t="n"/>
    </row>
    <row r="9" ht="15" customHeight="1" s="22">
      <c r="A9" s="1" t="n"/>
      <c r="B9" s="10" t="inlineStr">
        <is>
          <t>Facebook</t>
        </is>
      </c>
      <c r="C9" s="7">
        <f>IFERROR(LOOKUP(2,1/('Weekly Tracker'!C6:C200=B9)/ISNUMBER('Weekly Tracker'!E6:E200),'Weekly Tracker'!E6:E200),0)</f>
        <v/>
      </c>
      <c r="D9" s="7">
        <f>IFERROR(LOOKUP(2,1/('Weekly Tracker'!C6:C200=B9)/ISNUMBER('Weekly Tracker'!D6:D200),'Weekly Tracker'!D6:D200),0)</f>
        <v/>
      </c>
      <c r="E9" s="11">
        <f>C9-D9</f>
        <v/>
      </c>
      <c r="F9" s="8">
        <f>IFERROR(AVERAGEIFS('Weekly Tracker'!L6:L200,'Weekly Tracker'!C6:C200,B9),"")</f>
        <v/>
      </c>
      <c r="G9" s="7">
        <f>IFERROR(SUMIFS('Weekly Tracker'!I6:I200,'Weekly Tracker'!C6:C200,B9),0)</f>
        <v/>
      </c>
      <c r="H9" s="7">
        <f>IFERROR(SUMIFS('Weekly Tracker'!K6:K200,'Weekly Tracker'!C6:C200,B9),0)</f>
        <v/>
      </c>
      <c r="I9" s="7">
        <f>IFERROR(SUMIFS('Weekly Tracker'!G6:G200,'Weekly Tracker'!C6:C200,B9),0)</f>
        <v/>
      </c>
      <c r="J9" s="1" t="n"/>
    </row>
    <row r="10" ht="15" customHeight="1" s="22">
      <c r="A10" s="1" t="n"/>
      <c r="B10" s="10" t="inlineStr">
        <is>
          <t>LinkedIn</t>
        </is>
      </c>
      <c r="C10" s="7">
        <f>IFERROR(LOOKUP(2,1/('Weekly Tracker'!C6:C200=B10)/ISNUMBER('Weekly Tracker'!E6:E200),'Weekly Tracker'!E6:E200),0)</f>
        <v/>
      </c>
      <c r="D10" s="7">
        <f>IFERROR(LOOKUP(2,1/('Weekly Tracker'!C6:C200=B10)/ISNUMBER('Weekly Tracker'!D6:D200),'Weekly Tracker'!D6:D200),0)</f>
        <v/>
      </c>
      <c r="E10" s="11">
        <f>C10-D10</f>
        <v/>
      </c>
      <c r="F10" s="8">
        <f>IFERROR(AVERAGEIFS('Weekly Tracker'!L6:L200,'Weekly Tracker'!C6:C200,B10),"")</f>
        <v/>
      </c>
      <c r="G10" s="7">
        <f>IFERROR(SUMIFS('Weekly Tracker'!I6:I200,'Weekly Tracker'!C6:C200,B10),0)</f>
        <v/>
      </c>
      <c r="H10" s="7">
        <f>IFERROR(SUMIFS('Weekly Tracker'!K6:K200,'Weekly Tracker'!C6:C200,B10),0)</f>
        <v/>
      </c>
      <c r="I10" s="7">
        <f>IFERROR(SUMIFS('Weekly Tracker'!G6:G200,'Weekly Tracker'!C6:C200,B10),0)</f>
        <v/>
      </c>
      <c r="J10" s="1" t="n"/>
    </row>
    <row r="11" ht="15" customHeight="1" s="22">
      <c r="A11" s="1" t="n"/>
      <c r="B11" s="10" t="inlineStr">
        <is>
          <t>Threads</t>
        </is>
      </c>
      <c r="C11" s="7">
        <f>IFERROR(LOOKUP(2,1/('Weekly Tracker'!C6:C200=B11)/ISNUMBER('Weekly Tracker'!E6:E200),'Weekly Tracker'!E6:E200),0)</f>
        <v/>
      </c>
      <c r="D11" s="7">
        <f>IFERROR(LOOKUP(2,1/('Weekly Tracker'!C6:C200=B11)/ISNUMBER('Weekly Tracker'!D6:D200),'Weekly Tracker'!D6:D200),0)</f>
        <v/>
      </c>
      <c r="E11" s="11">
        <f>C11-D11</f>
        <v/>
      </c>
      <c r="F11" s="8">
        <f>IFERROR(AVERAGEIFS('Weekly Tracker'!L6:L200,'Weekly Tracker'!C6:C200,B11),"")</f>
        <v/>
      </c>
      <c r="G11" s="7">
        <f>IFERROR(SUMIFS('Weekly Tracker'!I6:I200,'Weekly Tracker'!C6:C200,B11),0)</f>
        <v/>
      </c>
      <c r="H11" s="7">
        <f>IFERROR(SUMIFS('Weekly Tracker'!K6:K200,'Weekly Tracker'!C6:C200,B11),0)</f>
        <v/>
      </c>
      <c r="I11" s="7">
        <f>IFERROR(SUMIFS('Weekly Tracker'!G6:G200,'Weekly Tracker'!C6:C200,B11),0)</f>
        <v/>
      </c>
      <c r="J11" s="1" t="n"/>
    </row>
    <row r="12" ht="15" customHeight="1" s="22">
      <c r="A12" s="1" t="n"/>
      <c r="B12" s="10" t="inlineStr">
        <is>
          <t>Pinterest</t>
        </is>
      </c>
      <c r="C12" s="7">
        <f>IFERROR(LOOKUP(2,1/('Weekly Tracker'!C6:C200=B12)/ISNUMBER('Weekly Tracker'!E6:E200),'Weekly Tracker'!E6:E200),0)</f>
        <v/>
      </c>
      <c r="D12" s="7">
        <f>IFERROR(LOOKUP(2,1/('Weekly Tracker'!C6:C200=B12)/ISNUMBER('Weekly Tracker'!D6:D200),'Weekly Tracker'!D6:D200),0)</f>
        <v/>
      </c>
      <c r="E12" s="11">
        <f>C12-D12</f>
        <v/>
      </c>
      <c r="F12" s="8">
        <f>IFERROR(AVERAGEIFS('Weekly Tracker'!L6:L200,'Weekly Tracker'!C6:C200,B12),"")</f>
        <v/>
      </c>
      <c r="G12" s="7">
        <f>IFERROR(SUMIFS('Weekly Tracker'!I6:I200,'Weekly Tracker'!C6:C200,B12),0)</f>
        <v/>
      </c>
      <c r="H12" s="7">
        <f>IFERROR(SUMIFS('Weekly Tracker'!K6:K200,'Weekly Tracker'!C6:C200,B12),0)</f>
        <v/>
      </c>
      <c r="I12" s="7">
        <f>IFERROR(SUMIFS('Weekly Tracker'!G6:G200,'Weekly Tracker'!C6:C200,B12),0)</f>
        <v/>
      </c>
      <c r="J12" s="1" t="n"/>
    </row>
    <row r="13" ht="15" customHeight="1" s="22">
      <c r="A13" s="1" t="n"/>
      <c r="B13" s="13" t="inlineStr">
        <is>
          <t>TOTAL</t>
        </is>
      </c>
      <c r="C13" s="14">
        <f>SUM(C5:C12)</f>
        <v/>
      </c>
      <c r="D13" s="14">
        <f>SUM(D5:D12)</f>
        <v/>
      </c>
      <c r="E13" s="15">
        <f>SUM(E5:E12)</f>
        <v/>
      </c>
      <c r="F13" s="16">
        <f>IFERROR(AVERAGE(F5:F12),"")</f>
        <v/>
      </c>
      <c r="G13" s="14">
        <f>SUM(G5:G12)</f>
        <v/>
      </c>
      <c r="H13" s="14">
        <f>SUM(H5:H12)</f>
        <v/>
      </c>
      <c r="I13" s="14">
        <f>SUM(I5:I12)</f>
        <v/>
      </c>
      <c r="J13" s="1" t="n"/>
    </row>
    <row r="14" ht="15" customHeight="1" s="2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15" customHeight="1" s="2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5" customHeight="1" s="2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15" customHeight="1" s="2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5" customHeight="1" s="2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5" customHeight="1" s="2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15" customHeight="1" s="2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L25"/>
  <sheetViews>
    <sheetView tabSelected="1" topLeftCell="C1" workbookViewId="0">
      <selection activeCell="L3" sqref="L3"/>
    </sheetView>
  </sheetViews>
  <sheetFormatPr baseColWidth="10" defaultRowHeight="15"/>
  <cols>
    <col width="47.1640625" customWidth="1" style="22" min="6" max="6"/>
    <col width="24.1640625" customWidth="1" style="22" min="7" max="7"/>
    <col width="26.1640625" customWidth="1" style="22" min="8" max="8"/>
    <col width="35.6640625" customWidth="1" style="22" min="9" max="9"/>
    <col width="18.5" customWidth="1" style="22" min="10" max="10"/>
    <col width="25.83203125" customWidth="1" style="22" min="11" max="11"/>
    <col width="17.5" customWidth="1" style="22" min="12" max="12"/>
  </cols>
  <sheetData>
    <row r="3" ht="24" customFormat="1" customHeight="1" s="17">
      <c r="C3" s="17" t="inlineStr">
        <is>
          <t>SL</t>
        </is>
      </c>
      <c r="D3" s="17" t="inlineStr">
        <is>
          <t>ID</t>
        </is>
      </c>
      <c r="E3" s="17" t="inlineStr">
        <is>
          <t>Name</t>
        </is>
      </c>
      <c r="F3" s="17" t="inlineStr">
        <is>
          <t>Description</t>
        </is>
      </c>
      <c r="G3" s="17" t="inlineStr">
        <is>
          <t>production date</t>
        </is>
      </c>
      <c r="H3" s="17" t="inlineStr">
        <is>
          <t>videolength</t>
        </is>
      </c>
      <c r="I3" s="17" t="inlineStr">
        <is>
          <t>higgsfiled credit used</t>
        </is>
      </c>
      <c r="J3" s="17" t="inlineStr">
        <is>
          <t>APPX USD</t>
        </is>
      </c>
      <c r="K3" s="17" t="inlineStr">
        <is>
          <t>model used</t>
        </is>
      </c>
      <c r="L3" s="17" t="inlineStr">
        <is>
          <t>storyBook</t>
        </is>
      </c>
    </row>
    <row r="4">
      <c r="C4" t="n">
        <v>1</v>
      </c>
      <c r="D4" t="inlineStr">
        <is>
          <t>73882fe5-salvage</t>
        </is>
      </c>
      <c r="E4" t="inlineStr">
        <is>
          <t>Sneezing Etiquette Family Story</t>
        </is>
      </c>
      <c r="F4" t="inlineStr">
        <is>
          <t>AIVS studio pipeline: Kling via fal.ai + ElevenLabs narration, 4 scenes, 1080x1920. Paid in USD (fal $4.00 + voice $0.18), not Higgsfield credits</t>
        </is>
      </c>
      <c r="G4" s="18" t="n">
        <v>46233</v>
      </c>
      <c r="H4" t="inlineStr">
        <is>
          <t>0:46</t>
        </is>
      </c>
      <c r="I4" t="n">
        <v>0</v>
      </c>
      <c r="J4" t="n">
        <v>4.18</v>
      </c>
      <c r="K4" t="inlineStr">
        <is>
          <t>Kling v2.5 turbo pro (fal.ai) + ElevenLabs multilingual v2</t>
        </is>
      </c>
      <c r="L4" t="inlineStr">
        <is>
          <t>chat prompt (no file)</t>
        </is>
      </c>
    </row>
    <row r="5">
      <c r="C5" t="n">
        <v>2</v>
      </c>
      <c r="D5" t="inlineStr">
        <is>
          <t>6fe741d5</t>
        </is>
      </c>
      <c r="E5" t="inlineStr">
        <is>
          <t>Dua Boy (Rabbana Atina)</t>
        </is>
      </c>
      <c r="F5" t="inlineStr">
        <is>
          <t>Higgsfield: kling3_0_turbo scene + seedance_2_0 lip-synced Arabic dua recitation, end card</t>
        </is>
      </c>
      <c r="G5" s="18" t="n">
        <v>46234</v>
      </c>
      <c r="H5" t="inlineStr">
        <is>
          <t>0:16</t>
        </is>
      </c>
      <c r="I5" t="n">
        <v>69</v>
      </c>
      <c r="J5" t="n">
        <v>2.3</v>
      </c>
      <c r="K5" t="inlineStr">
        <is>
          <t>kling3_0_turbo + seedance_2_0</t>
        </is>
      </c>
      <c r="L5" t="inlineStr">
        <is>
          <t>chat prompt (no file)</t>
        </is>
      </c>
    </row>
    <row r="6">
      <c r="C6" t="n">
        <v>3</v>
      </c>
      <c r="D6" t="inlineStr">
        <is>
          <t>b325a643</t>
        </is>
      </c>
      <c r="E6" t="inlineStr">
        <is>
          <t>Riwaq Quran Class Ad (Johra)</t>
        </is>
      </c>
      <c r="F6" t="inlineStr">
        <is>
          <t>Higgsfield: seedance_2_0 Zoom-lesson ad, v2 with Surah Al-Ikhlas recitation, emerald end card</t>
        </is>
      </c>
      <c r="G6" s="18" t="n">
        <v>46235</v>
      </c>
      <c r="H6" t="inlineStr">
        <is>
          <t>0:11</t>
        </is>
      </c>
      <c r="I6" t="n">
        <v>72</v>
      </c>
      <c r="J6" t="n">
        <v>2.4</v>
      </c>
      <c r="K6" t="inlineStr">
        <is>
          <t>seedance_2_0</t>
        </is>
      </c>
      <c r="L6" t="inlineStr">
        <is>
          <t>chat prompt (no file)</t>
        </is>
      </c>
    </row>
    <row r="7">
      <c r="C7" t="n">
        <v>4</v>
      </c>
      <c r="D7" t="inlineStr">
        <is>
          <t>941b251a</t>
        </is>
      </c>
      <c r="E7" t="inlineStr">
        <is>
          <t>The Lantern in the Dark - Dua for Guidance</t>
        </is>
      </c>
      <c r="F7" t="inlineStr">
        <is>
          <t>Higgsfield: 5-scene consistent 3D animation (nano_banana_pro stills + veo3_1), scene-2 language fix, logo end card</t>
        </is>
      </c>
      <c r="G7" s="18" t="n">
        <v>46236</v>
      </c>
      <c r="H7" t="inlineStr">
        <is>
          <t>0:44</t>
        </is>
      </c>
      <c r="I7" t="n">
        <v>142</v>
      </c>
      <c r="J7" t="n">
        <v>4.7</v>
      </c>
      <c r="K7" t="inlineStr">
        <is>
          <t>nano_banana_pro (stills) + veo3_1 fast</t>
        </is>
      </c>
      <c r="L7" t="inlineStr">
        <is>
          <t>The Lantern in the Dark — Dua for Guidance.md</t>
        </is>
      </c>
    </row>
    <row r="8">
      <c r="C8" t="n">
        <v>5</v>
      </c>
      <c r="D8" t="inlineStr">
        <is>
          <t>c7964aab</t>
        </is>
      </c>
      <c r="E8" t="inlineStr">
        <is>
          <t>Cozy Classroom ASMR (Alif)</t>
        </is>
      </c>
      <c r="F8" t="inlineStr">
        <is>
          <t>Higgsfield: kling3_0_turbo 1080p image-to-video from corrected Alif start frame (user reference + nano_banana edit); replaces takes e23d9a42 (kling2_6) + 0db35e8c (freehand alif)</t>
        </is>
      </c>
      <c r="G8" s="18" t="n">
        <v>46236</v>
      </c>
      <c r="H8" t="inlineStr">
        <is>
          <t>0:13</t>
        </is>
      </c>
      <c r="I8" t="n">
        <v>64</v>
      </c>
      <c r="J8" t="n">
        <v>2.11</v>
      </c>
      <c r="K8" t="inlineStr">
        <is>
          <t>nano_banana_pro (start frame) + kling3_0_turbo 1080p</t>
        </is>
      </c>
      <c r="L8" t="inlineStr">
        <is>
          <t>Create a cozy Islamic classroom ASMR scene.md</t>
        </is>
      </c>
    </row>
    <row r="9">
      <c r="C9" t="n">
        <v>6</v>
      </c>
      <c r="D9" t="inlineStr">
        <is>
          <t>a26c16b8-full</t>
        </is>
      </c>
      <c r="E9" t="inlineStr">
        <is>
          <t>Cozy Classroom ASMR — Full (Alif)</t>
        </is>
      </c>
      <c r="F9" t="inlineStr">
        <is>
          <t>Higgsfield: 4-scene full ASMR (corrected Alif trace, second trace, page turn, finale) — 4 nano_banana frames + 3 kling3_0_turbo 1080p clips + reused corrected S1; logo end card</t>
        </is>
      </c>
      <c r="G9" s="18" t="n">
        <v>46236</v>
      </c>
      <c r="H9" t="inlineStr">
        <is>
          <t>0:43</t>
        </is>
      </c>
      <c r="I9" t="n">
        <v>68</v>
      </c>
      <c r="J9" t="n">
        <v>2.24</v>
      </c>
      <c r="K9" t="inlineStr">
        <is>
          <t>nano_banana_pro (frames) + kling3_0_turbo 1080p</t>
        </is>
      </c>
      <c r="L9" t="inlineStr">
        <is>
          <t>Create a cozy Islamic classroom ASMR scene.md</t>
        </is>
      </c>
    </row>
    <row r="10">
      <c r="C10" t="n">
        <v>7</v>
      </c>
      <c r="D10" t="inlineStr">
        <is>
          <t>60670982</t>
        </is>
      </c>
      <c r="E10" t="inlineStr">
        <is>
          <t>The Dream of Every Parent</t>
        </is>
      </c>
      <c r="F10" t="inlineStr">
        <is>
          <t>Higgsfield: 8 nano_banana_pro stills (S0 master + 7 scenes) + 9 veo3_1 fast 8s clips (7 scenes + clip4 re-roll for mumbled VO + clip6 re-roll for teacher lip-sync), whisper-verified dialogue, local concat, hook text overlay, per-clip random watermark, animated logo end card</t>
        </is>
      </c>
      <c r="G10" s="27" t="n">
        <v>46237</v>
      </c>
      <c r="H10" t="inlineStr">
        <is>
          <t>0:56</t>
        </is>
      </c>
      <c r="I10" t="n">
        <v>214</v>
      </c>
      <c r="J10" t="n">
        <v>7.06</v>
      </c>
      <c r="K10" t="inlineStr">
        <is>
          <t>nano_banana_pro (stills) + veo3_1 fast</t>
        </is>
      </c>
      <c r="L10" t="inlineStr">
        <is>
          <t>Riwaq Al Ilm --- "The Dream of Every Parent".md</t>
        </is>
      </c>
    </row>
    <row r="11">
      <c r="C11" t="n">
        <v>8</v>
      </c>
      <c r="D11" t="inlineStr">
        <is>
          <t>d4428667</t>
        </is>
      </c>
      <c r="E11" t="inlineStr">
        <is>
          <t>The Legacy Post (image)</t>
        </is>
      </c>
      <c r="F11" t="inlineStr">
        <is>
          <t>Higgsfield: 1 nano_banana_pro 4:5 still (Quran hand-off father to child), local Pillow compose: logo, hook text, gold CTA, gradients — static social post 1080x1350</t>
        </is>
      </c>
      <c r="G11" s="27" t="n">
        <v>46238</v>
      </c>
      <c r="H11" t="inlineStr">
        <is>
          <t>n/a (image)</t>
        </is>
      </c>
      <c r="I11" t="n">
        <v>2</v>
      </c>
      <c r="J11" t="n">
        <v>0.07000000000000001</v>
      </c>
      <c r="K11" t="inlineStr">
        <is>
          <t>nano_banana_pro</t>
        </is>
      </c>
      <c r="L11" t="inlineStr">
        <is>
          <t>chat prompt (no file)</t>
        </is>
      </c>
    </row>
    <row r="12">
      <c r="C12" t="n">
        <v>9</v>
      </c>
      <c r="D12" t="inlineStr">
        <is>
          <t>72a02e53</t>
        </is>
      </c>
      <c r="E12" t="inlineStr">
        <is>
          <t>Little Girl Reciting Dua</t>
        </is>
      </c>
      <c r="F12" t="inlineStr">
        <is>
          <t>Higgsfield: 1 nano_banana_pro still + 1 veo3_1 fast 8s clip (Rabbi zidni ilma + Ameen, whisper-verified incl. isolated-segment check), local Arabic+English subtitles (reshaper/bidi, no harakat), fade, Pillow end card with free-trial CTA</t>
        </is>
      </c>
      <c r="G12" s="27" t="n">
        <v>46238</v>
      </c>
      <c r="H12" t="inlineStr">
        <is>
          <t>0:11</t>
        </is>
      </c>
      <c r="I12" t="n">
        <v>24</v>
      </c>
      <c r="J12" t="n">
        <v>0.79</v>
      </c>
      <c r="K12" t="inlineStr">
        <is>
          <t>nano_banana_pro (still) + veo3_1 fast</t>
        </is>
      </c>
      <c r="L12" t="inlineStr">
        <is>
          <t>Little Girl Reciting Dua.md</t>
        </is>
      </c>
    </row>
    <row r="13">
      <c r="C13" t="n">
        <v>10</v>
      </c>
      <c r="D13" t="inlineStr">
        <is>
          <t>46e119ad</t>
        </is>
      </c>
      <c r="E13" t="inlineStr">
        <is>
          <t>The Dua Before Learning</t>
        </is>
      </c>
      <c r="F13" t="inlineStr">
        <is>
          <t>Higgsfield: 2 nano_banana_pro stills (girl at desk + mother, identity ref to Little Girl Dua) + 3 veo3_1 fast 8s clips (dua clip + mother-dialogue clip + re-roll for girl mouthing mother's line), whisper-verified, local Arabic/English subtitles, freeze-frame CTA end overlay with logo</t>
        </is>
      </c>
      <c r="G13" s="27" t="n">
        <v>46238</v>
      </c>
      <c r="H13" t="inlineStr">
        <is>
          <t>0:17</t>
        </is>
      </c>
      <c r="I13" t="n">
        <v>70</v>
      </c>
      <c r="J13" t="n">
        <v>2.31</v>
      </c>
      <c r="K13" t="inlineStr">
        <is>
          <t>nano_banana_pro (stills) + veo3_1 fast</t>
        </is>
      </c>
      <c r="L13" t="inlineStr">
        <is>
          <t>TITLE: The Dua Before Learning.md</t>
        </is>
      </c>
    </row>
    <row r="14">
      <c r="C14" t="n">
        <v>11</v>
      </c>
      <c r="D14" t="inlineStr">
        <is>
          <t>e1b9f39a</t>
        </is>
      </c>
      <c r="E14" t="inlineStr">
        <is>
          <t>Allah Is Sufficient for Me (Johra)</t>
        </is>
      </c>
      <c r="F14" t="inlineStr">
        <is>
          <t>Higgsfield: user-supplied Johra.jpeg as identity ref, 3 nano_banana_pro stills (worried playground + letterbox re-roll + children inviting) + 2 veo3_1 fast 8s clips (Hasbunallahu dua, whisper-verified + Come-play-with-us scene, lip-sync checked), local Arabic/English subtitles + freeze-frame CTA overlay with logo</t>
        </is>
      </c>
      <c r="G14" s="27" t="n">
        <v>46238</v>
      </c>
      <c r="H14" t="inlineStr">
        <is>
          <t>0:18</t>
        </is>
      </c>
      <c r="I14" t="n">
        <v>50</v>
      </c>
      <c r="J14" t="n">
        <v>1.65</v>
      </c>
      <c r="K14" t="inlineStr">
        <is>
          <t>nano_banana_pro (stills) + veo3_1 fast</t>
        </is>
      </c>
      <c r="L14" t="inlineStr">
        <is>
          <t>TITLE: Allah Is Sufficient for Me.md</t>
        </is>
      </c>
    </row>
    <row r="15">
      <c r="C15" t="n">
        <v>12</v>
      </c>
      <c r="D15" t="inlineStr">
        <is>
          <t>748bd1ff</t>
        </is>
      </c>
      <c r="E15" t="inlineStr">
        <is>
          <t>FB Series 01 (6 post images)</t>
        </is>
      </c>
      <c r="F15" t="inlineStr">
        <is>
          <t>Higgsfield: 6 nano_banana_pro 4:5 backgrounds + 6 regenerated at 16:9 (user request) + local Pillow compose 1920x1080: bottom-left logo watermark, cream/gold Georgia hooks, CTA, scrims. renders/fb-series01/post1-6 (16:9); 4:5 originals archived in 4x5-original/</t>
        </is>
      </c>
      <c r="G15" s="27" t="n">
        <v>46238</v>
      </c>
      <c r="H15" t="inlineStr">
        <is>
          <t>n/a (images x6)</t>
        </is>
      </c>
      <c r="I15" t="n">
        <v>24</v>
      </c>
      <c r="J15" t="n">
        <v>0.79</v>
      </c>
      <c r="K15" t="inlineStr">
        <is>
          <t>nano_banana_pro</t>
        </is>
      </c>
      <c r="L15" t="inlineStr">
        <is>
          <t>fbPostRequest/series01.md</t>
        </is>
      </c>
    </row>
    <row r="16">
      <c r="C16" t="n">
        <v>13</v>
      </c>
      <c r="D16" t="inlineStr">
        <is>
          <t>19b08f23</t>
        </is>
      </c>
      <c r="E16" t="inlineStr">
        <is>
          <t>FB Series 02 (6 post images)</t>
        </is>
      </c>
      <c r="F16" t="inlineStr">
        <is>
          <t>Higgsfield: 6 nano_banana_pro 4:5 backgrounds + 6 regenerated at 16:9 (user request) + local Pillow compose 1920x1080: bottom-left logo watermark, cream/gold Georgia hooks, CTA, scrims. renders/fb-series02/post1-6 (16:9); 4:5 originals archived in 4x5-original/</t>
        </is>
      </c>
      <c r="G16" s="27" t="n">
        <v>46238</v>
      </c>
      <c r="H16" t="inlineStr">
        <is>
          <t>n/a (images x6)</t>
        </is>
      </c>
      <c r="I16" t="n">
        <v>32</v>
      </c>
      <c r="J16" t="n">
        <v>1.06</v>
      </c>
      <c r="K16" t="inlineStr">
        <is>
          <t>nano_banana_pro</t>
        </is>
      </c>
      <c r="L16" t="inlineStr">
        <is>
          <t>fbPostRequest/series02.md</t>
        </is>
      </c>
    </row>
    <row r="17">
      <c r="C17" t="n">
        <v>14</v>
      </c>
      <c r="D17" t="inlineStr">
        <is>
          <t>94c061f0</t>
        </is>
      </c>
      <c r="E17" t="inlineStr">
        <is>
          <t>FB Series 03 (6 post images, 16:9)</t>
        </is>
      </c>
      <c r="F17" t="inlineStr">
        <is>
          <t>Higgsfield: 6 nano_banana_pro 16:9 backgrounds (crown of light, three ages, father+imitating toddler, Arabic letter blocks, boy serving grandfather, shy girl online class) + local Pillow compose 1920x1080: bottom-left logo watermark, cream/gold Georgia hooks, CTA, scrims. renders/fb-series03/post1-6</t>
        </is>
      </c>
      <c r="G17" s="27" t="n">
        <v>46238</v>
      </c>
      <c r="H17" t="inlineStr">
        <is>
          <t>n/a (images x6)</t>
        </is>
      </c>
      <c r="I17" t="n">
        <v>12</v>
      </c>
      <c r="J17" t="n">
        <v>0.4</v>
      </c>
      <c r="K17" t="inlineStr">
        <is>
          <t>nano_banana_pro</t>
        </is>
      </c>
      <c r="L17" t="inlineStr">
        <is>
          <t>fbPostRequest/series03.md</t>
        </is>
      </c>
    </row>
    <row r="18">
      <c r="C18" t="n">
        <v>15</v>
      </c>
      <c r="D18" t="inlineStr">
        <is>
          <t>e52454e2</t>
        </is>
      </c>
      <c r="E18" t="inlineStr">
        <is>
          <t>The Most Beautiful Sound</t>
        </is>
      </c>
      <c r="F18" t="inlineStr">
        <is>
          <t>Higgsfield: 7 nano_banana_pro stills (S0 mother+Maryam master + 6 scenes) + 7 veo3_1 fast 8s clips (6 scenes + clip4 re-roll: audible 'apple' lesson replaced with silent piano-only), whisper-verified incl. isolated Al-Fatiha recitation check, lip-check on 2-speaker scene, local concat + animated end card with story tagline overlay</t>
        </is>
      </c>
      <c r="G18" s="27" t="n">
        <v>46239</v>
      </c>
      <c r="H18" t="inlineStr">
        <is>
          <t>0:53</t>
        </is>
      </c>
      <c r="I18" t="n">
        <v>168</v>
      </c>
      <c r="J18" t="n">
        <v>5.54</v>
      </c>
      <c r="K18" t="inlineStr">
        <is>
          <t>nano_banana_pro (stills) + veo3_1 fast</t>
        </is>
      </c>
      <c r="L18" t="inlineStr">
        <is>
          <t>The Most Beautiful Sound.md</t>
        </is>
      </c>
    </row>
    <row r="19">
      <c r="C19" t="n">
        <v>16</v>
      </c>
      <c r="D19" t="inlineStr">
        <is>
          <t>0d96d225</t>
        </is>
      </c>
      <c r="E19" t="inlineStr">
        <is>
          <t>The Dua Before Learning (Johra v2)</t>
        </is>
      </c>
      <c r="F19" t="inlineStr">
        <is>
          <t>Higgsfield: redo with user-supplied Johra.jpeg as child, 2 nano_banana_pro stills + 2 veo3_1 fast 8s clips, recitation verified twice (small+medium whisper, isolated segment: Rabbi zidni ilma clean), 3-beat lip-sync checked, local subtitles + freeze CTA. Output riwaq-dua-before-learning-johra-9x16.mp4; original kept</t>
        </is>
      </c>
      <c r="G19" s="27" t="n">
        <v>46240</v>
      </c>
      <c r="H19" t="inlineStr">
        <is>
          <t>0:17</t>
        </is>
      </c>
      <c r="I19" t="n">
        <v>48</v>
      </c>
      <c r="J19" t="n">
        <v>1.58</v>
      </c>
      <c r="K19" t="inlineStr">
        <is>
          <t>nano_banana_pro (stills) + veo3_1 fast</t>
        </is>
      </c>
      <c r="L19" t="inlineStr">
        <is>
          <t>TITLE: The Dua Before Learning.md</t>
        </is>
      </c>
    </row>
    <row r="20">
      <c r="C20" t="n">
        <v>17</v>
      </c>
      <c r="D20" t="inlineStr">
        <is>
          <t>cbd20077</t>
        </is>
      </c>
      <c r="E20" t="inlineStr">
        <is>
          <t>Rabbi Irhamhuma (Johra)</t>
        </is>
      </c>
      <c r="F20" t="inlineStr">
        <is>
          <t>Higgsfield: Johra.jpeg identity ref, 1 nano_banana_pro still (night bedroom dua) + 1 veo3_1 fast 8s clip (dua for parents 17:24 recited full, hug + forehead kiss), medium-whisper word-level verify (all words p0.76-0.97, tail RMS decay = natural finish), local emerald calligraphy end card (harakat-stripped Arabic + translation + logo)</t>
        </is>
      </c>
      <c r="G20" s="27" t="n">
        <v>46242</v>
      </c>
      <c r="H20" t="inlineStr">
        <is>
          <t>0:12</t>
        </is>
      </c>
      <c r="I20" t="n">
        <v>24</v>
      </c>
      <c r="J20" t="n">
        <v>0.79</v>
      </c>
      <c r="K20" t="inlineStr">
        <is>
          <t>nano_banana_pro (still) + veo3_1 fast</t>
        </is>
      </c>
      <c r="L20" t="inlineStr">
        <is>
          <t>Rabbi irhamhuma kama rabbayani sagheera..md</t>
        </is>
      </c>
    </row>
    <row r="21">
      <c r="C21" t="n">
        <v>18</v>
      </c>
      <c r="D21" t="inlineStr">
        <is>
          <t>f2d26bc0</t>
        </is>
      </c>
      <c r="E21" t="inlineStr">
        <is>
          <t>Islamic Moments at Home (10 post images)</t>
        </is>
      </c>
      <c r="F21" t="inlineStr">
        <is>
          <t>Higgsfield: 10 nano_banana_pro 4:5 backgrounds (bedtime dua, bismillah dinner, Al-Fatihah, mother-daughter Quran, learning salah, family dua, Quran before school, grandfather stories, Friday prep, dawn recitation) + local Pillow compose 1080x1350: quote cream/gold Georgia, bottom-left logo watermark, scrims. renders/islamic-moments/post1-10</t>
        </is>
      </c>
      <c r="G21" s="27" t="n">
        <v>46242</v>
      </c>
      <c r="H21" t="inlineStr">
        <is>
          <t>n/a (images x10)</t>
        </is>
      </c>
      <c r="I21" t="n">
        <v>20</v>
      </c>
      <c r="J21" t="n">
        <v>0.66</v>
      </c>
      <c r="K21" t="inlineStr">
        <is>
          <t>nano_banana_pro</t>
        </is>
      </c>
      <c r="L21" t="inlineStr">
        <is>
          <t>fbPostRequest/islamic_moments_at_home_image_ideas.md</t>
        </is>
      </c>
    </row>
    <row r="22">
      <c r="C22" t="n">
        <v>19</v>
      </c>
      <c r="D22" t="inlineStr">
        <is>
          <t>pillars-4k-batch</t>
        </is>
      </c>
      <c r="E22" t="inlineStr">
        <is>
          <t>Social Pillars — 36 4K masters (pillars 1,2,4,5,6,7)</t>
        </is>
      </c>
      <c r="F22" t="inlineStr">
        <is>
          <t>Higgsfield: 36 nano_banana_pro 1:1 @ 4k masters (4096x4096, 4cr ea) for the 49-post V4 plan, one failed and re-rolled. Reframed locally to 180 platform exports (4:5 / 16:9 / 9:16 / 2:3 / 1:1) via scripts/social/reframe.py + export_all.py, logo watermarked. Captions written for all 7 pillars. Pillar 3 (teacher) deliberately not generated — real photos required.</t>
        </is>
      </c>
      <c r="G22" s="27" t="n">
        <v>46244</v>
      </c>
      <c r="H22" t="inlineStr">
        <is>
          <t>n/a (images x36 + 180 exports)</t>
        </is>
      </c>
      <c r="I22" t="n">
        <v>144</v>
      </c>
      <c r="J22" t="n">
        <v>4.75</v>
      </c>
      <c r="K22" t="inlineStr">
        <is>
          <t>nano_banana_pro 4k</t>
        </is>
      </c>
      <c r="L22" t="inlineStr">
        <is>
          <t>riwaq_social_media_package_v4.md</t>
        </is>
      </c>
    </row>
    <row r="23">
      <c r="C23" t="n">
        <v>20</v>
      </c>
      <c r="D23" t="inlineStr">
        <is>
          <t>4df3aba8</t>
        </is>
      </c>
      <c r="E23" t="inlineStr">
        <is>
          <t>Wudu Together (video, pillar 1.5)</t>
        </is>
      </c>
      <c r="F23" t="inlineStr">
        <is>
          <t>Higgsfield: reused pillar 1.5 4K master reframed to 9:16 as start frame (0cr) + 1 nano_banana_pro 2k drying still (2cr) + 3 veo3_1 fast 8s clips (2 kept, 1 failed and re-rolled). Silent by design — VAD-confirmed no speech, ambient water/fabric only. Local assembly: 5s+5s trim, Pillow on-screen text at two beats per brief, warm fade-out.</t>
        </is>
      </c>
      <c r="G23" s="27" t="n">
        <v>46245</v>
      </c>
      <c r="H23" t="inlineStr">
        <is>
          <t>0:10</t>
        </is>
      </c>
      <c r="I23" t="n">
        <v>68</v>
      </c>
      <c r="J23" t="n">
        <v>2.24</v>
      </c>
      <c r="K23" t="inlineStr">
        <is>
          <t>nano_banana_pro + veo3_1 fast</t>
        </is>
      </c>
      <c r="L23" t="inlineStr">
        <is>
          <t>Pillers/Wudu Together.md</t>
        </is>
      </c>
    </row>
    <row r="24">
      <c r="C24" t="n">
        <v>21</v>
      </c>
      <c r="D24" t="inlineStr">
        <is>
          <t>0022</t>
        </is>
      </c>
      <c r="E24" t="inlineStr">
        <is>
          <t>Lā ḥawla wa lā quwwata illā billāh</t>
        </is>
      </c>
      <c r="F24" t="inlineStr">
        <is>
          <t>Higgsfield: 8 nano_banana_pro stills (master + 7 scenes) + 9 veo-3-1-fast clips (8 used, 1 sunrise re-rolled after v1 clipped to white) + seed_audio Emmett VO. v2 rebuild: all 8 beats real motion, one continuous read. All veo clip audio discarded (6 of 9 returned a music bed); soundtrack built locally = VO + Apple-DLS piano + rain ambience. Arabic dua on 6 Pillow cards because TTS could not pronounce 'quwwata' in 7 attempts.</t>
        </is>
      </c>
      <c r="G24" s="27" t="n">
        <v>46245</v>
      </c>
      <c r="H24" t="inlineStr">
        <is>
          <t>0:58</t>
        </is>
      </c>
      <c r="I24" t="n">
        <v>231</v>
      </c>
      <c r="J24" t="n">
        <v>7.62</v>
      </c>
      <c r="K24" t="inlineStr">
        <is>
          <t>nano_banana_pro + veo-3-1-fast + seed_audio</t>
        </is>
      </c>
      <c r="L24" t="inlineStr">
        <is>
          <t>productions/0022-la-hawla/00-REQUEST.md</t>
        </is>
      </c>
    </row>
    <row r="25">
      <c r="C25" t="n">
        <v>22</v>
      </c>
      <c r="D25" t="inlineStr">
        <is>
          <t>0024</t>
        </is>
      </c>
      <c r="E25" t="inlineStr">
        <is>
          <t>Alif, Baa, Taa Adventure (Rhyme Series S2 #7)</t>
        </is>
      </c>
      <c r="F25" t="inlineStr">
        <is>
          <t>Higgsfield: 7 nano_banana_pro stills (Johra.jpeg identity ref) + 8 veo-3-1-fast clips (7 used, Saa re-rolled because the finger count changed mid-clip) + seed_audio Juno spoken read at speech_rate 20. Style 7. Auditioned 3 voices: Daisy said 'Aleph', Gracie 'Aleaf', only Juno said 'Alif'. All 8 clips carried a music bed (-22..-27 dB) so all clip audio discarded; marimba bed rendered locally via new scripts/social/kidsmusic.m. Arabic letter cards Pillow-rendered.</t>
        </is>
      </c>
      <c r="G25" s="27" t="n">
        <v>46246</v>
      </c>
      <c r="H25" t="inlineStr">
        <is>
          <t>1:01</t>
        </is>
      </c>
      <c r="I25" t="n">
        <v>215</v>
      </c>
      <c r="J25" t="n">
        <v>7.1</v>
      </c>
      <c r="K25" t="inlineStr">
        <is>
          <t>nano_banana_pro + veo-3-1-fast + seed_audio</t>
        </is>
      </c>
      <c r="L25" t="inlineStr">
        <is>
          <t>productions/0024-alif-baa-taa-adventure/00-REQUEST.md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2026-07-30T16:16:23Z</dcterms:created>
  <dcterms:modified xsi:type="dcterms:W3CDTF">2026-08-12T20:52:52Z</dcterms:modified>
  <cp:lastModifiedBy>Nur ..</cp:lastModifiedBy>
  <cp:revision>0</cp:revision>
</cp:coreProperties>
</file>